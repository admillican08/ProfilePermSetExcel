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GitRepos\admillican08_dev_org\VsCode\Deploy\"/>
    </mc:Choice>
  </mc:AlternateContent>
  <xr:revisionPtr revIDLastSave="0" documentId="10_ncr:100000_{65F1CDA2-92A6-443B-976C-462959F48E5F}" xr6:coauthVersionLast="31" xr6:coauthVersionMax="31" xr10:uidLastSave="{00000000-0000-0000-0000-000000000000}"/>
  <bookViews>
    <workbookView xWindow="0" yWindow="0" windowWidth="24120" windowHeight="7185"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pVisA1">ApplicationVisibility!$A$1</definedName>
    <definedName name="CustPermsA1">CustomPermissions!$A$1</definedName>
    <definedName name="DataCatA1">CategoryGroupVisibilities!$A$1</definedName>
    <definedName name="ExtDataSrcA1">ExternalDataSourceAccesses!$A$1</definedName>
    <definedName name="FieldPermsA1">FieldPermissions!$A$1</definedName>
    <definedName name="LayoutAssignsA1">LayoutAssignments!$A$1</definedName>
    <definedName name="LoginHoursA1">LoginHours!$A$1</definedName>
    <definedName name="LoginIpRangesA1">LoginIpRanges!$A$1</definedName>
    <definedName name="ObjectPermsA1">ObjectPermissions!$A$1</definedName>
    <definedName name="ProfActionOverridesA1">ProfileActionOverrides!$A$1</definedName>
    <definedName name="ProfileNameA1">BasicInfo!$A$1</definedName>
    <definedName name="RecordTypeVisA1">RecordTypeVisibility!$A$1</definedName>
    <definedName name="TabVisA1">TabVisibilities!$A$1</definedName>
    <definedName name="UserPermsA1">UserPermissions!$A$1</definedName>
    <definedName name="VfPageAccessA1">VfPageAccess!$A$1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<sst xmlns="http://schemas.openxmlformats.org/spreadsheetml/2006/main" count="148" uniqueCount="75">
  <si>
    <t>default</t>
  </si>
  <si>
    <t>visible</t>
  </si>
  <si>
    <t>enabled</t>
  </si>
  <si>
    <t>editable</t>
  </si>
  <si>
    <t>readable</t>
  </si>
  <si>
    <t>IsCustomProfile</t>
  </si>
  <si>
    <t>actionName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</si>
  <si>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</si>
  <si>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</si>
  <si>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</si>
  <si>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</si>
  <si>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</si>
  <si>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</si>
  <si>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</si>
  <si>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</si>
  <si>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</si>
  <si>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</si>
  <si>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</si>
  <si>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</si>
  <si>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</si>
  <si>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</si>
  <si>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</si>
  <si>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</si>
  <si>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</si>
  <si>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</si>
  <si>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</si>
  <si>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</si>
  <si>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</si>
  <si>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</si>
  <si>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</si>
  <si>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</si>
  <si>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</si>
  <si>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</si>
  <si>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</si>
  <si>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</si>
  <si>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</si>
  <si>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</si>
  <si>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</si>
  <si>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</si>
  <si>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</si>
  <si>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</si>
  <si>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</si>
  <si>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</si>
  <si>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</si>
  <si>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</si>
  <si>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</si>
  <si>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</si>
  <si>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</si>
  <si>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</si>
  <si>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t xml:space="preserve">The </t>
    </r>
    <r>
      <rPr>
        <b/>
        <sz val="11"/>
        <color theme="1"/>
        <rFont val="Palatino Linotype"/>
        <family val="1"/>
      </rPr>
      <t>categoryGroupVisibilities</t>
    </r>
    <r>
      <rPr>
        <sz val="11"/>
        <color theme="1"/>
        <rFont val="Palatino Linotype"/>
        <family val="1"/>
      </rPr>
      <t xml:space="preserve"> element and its child element, </t>
    </r>
    <r>
      <rPr>
        <b/>
        <sz val="11"/>
        <color theme="1"/>
        <rFont val="Palatino Linotype"/>
        <family val="1"/>
      </rPr>
      <t>dataCategories</t>
    </r>
    <r>
      <rPr>
        <sz val="11"/>
        <color theme="1"/>
        <rFont val="Palatino Linotype"/>
        <family val="1"/>
      </rPr>
      <t xml:space="preserve">, </t>
    </r>
    <r>
      <rPr>
        <b/>
        <sz val="11"/>
        <color theme="1"/>
        <rFont val="Palatino Linotype"/>
        <family val="1"/>
      </rPr>
      <t xml:space="preserve"> </t>
    </r>
    <r>
      <rPr>
        <sz val="11"/>
        <color theme="1"/>
        <rFont val="Palatino Linotype"/>
        <family val="1"/>
      </rPr>
      <t>are left unmapped, because dataCategories itself contains sequential, repeating child elements. While Excel can import data into an element of this type, it cannot export data from an Excel sheet with a mapped element of this type.</t>
    </r>
  </si>
  <si>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</si>
  <si>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t xml:space="preserve"> If desired, this  element can be mapped for import  by adding the dataCategories element from the Profile_Map schema attached to the template.
To do this, use the following steps:
1. Select the </t>
    </r>
    <r>
      <rPr>
        <b/>
        <sz val="11"/>
        <color theme="1"/>
        <rFont val="Palatino Linotype"/>
        <family val="1"/>
      </rPr>
      <t>Developer</t>
    </r>
    <r>
      <rPr>
        <sz val="11"/>
        <color theme="1"/>
        <rFont val="Palatino Linotype"/>
        <family val="1"/>
      </rPr>
      <t xml:space="preserve"> tab (instructions on how to display it are on the </t>
    </r>
    <r>
      <rPr>
        <b/>
        <sz val="11"/>
        <color theme="1"/>
        <rFont val="Palatino Linotype"/>
        <family val="1"/>
      </rPr>
      <t>Instructions</t>
    </r>
    <r>
      <rPr>
        <sz val="11"/>
        <color theme="1"/>
        <rFont val="Palatino Linotype"/>
        <family val="1"/>
      </rPr>
      <t xml:space="preserve"> sheet of the main Import/Export workbook). 
2. Click the </t>
    </r>
    <r>
      <rPr>
        <b/>
        <sz val="11"/>
        <color theme="1"/>
        <rFont val="Palatino Linotype"/>
        <family val="1"/>
      </rPr>
      <t>Source</t>
    </r>
    <r>
      <rPr>
        <sz val="11"/>
        <color theme="1"/>
        <rFont val="Palatino Linotype"/>
        <family val="1"/>
      </rPr>
      <t xml:space="preserve"> icon, and select the </t>
    </r>
    <r>
      <rPr>
        <b/>
        <sz val="11"/>
        <color theme="1"/>
        <rFont val="Palatino Linotype"/>
        <family val="1"/>
      </rPr>
      <t>Profile_Map</t>
    </r>
    <r>
      <rPr>
        <sz val="11"/>
        <color theme="1"/>
        <rFont val="Palatino Linotype"/>
        <family val="1"/>
      </rPr>
      <t xml:space="preserve"> in the </t>
    </r>
    <r>
      <rPr>
        <b/>
        <sz val="11"/>
        <color theme="1"/>
        <rFont val="Palatino Linotype"/>
        <family val="1"/>
      </rPr>
      <t>XML Source</t>
    </r>
    <r>
      <rPr>
        <sz val="11"/>
        <color theme="1"/>
        <rFont val="Palatino Linotype"/>
        <family val="1"/>
      </rPr>
      <t xml:space="preserve"> pane.
3. Drag the </t>
    </r>
    <r>
      <rPr>
        <b/>
        <sz val="11"/>
        <color theme="1"/>
        <rFont val="Palatino Linotype"/>
        <family val="1"/>
      </rPr>
      <t>categoryGroupVisibilities</t>
    </r>
    <r>
      <rPr>
        <sz val="11"/>
        <color theme="1"/>
        <rFont val="Palatino Linotype"/>
        <family val="1"/>
      </rPr>
      <t xml:space="preserve">: </t>
    </r>
    <r>
      <rPr>
        <b/>
        <sz val="11"/>
        <color theme="1"/>
        <rFont val="Palatino Linotype"/>
        <family val="1"/>
      </rPr>
      <t>dataCategories</t>
    </r>
    <r>
      <rPr>
        <sz val="11"/>
        <color theme="1"/>
        <rFont val="Palatino Linotype"/>
        <family val="1"/>
      </rPr>
      <t xml:space="preserve">: </t>
    </r>
    <r>
      <rPr>
        <b/>
        <sz val="11"/>
        <color theme="1"/>
        <rFont val="Palatino Linotype"/>
        <family val="1"/>
      </rPr>
      <t>dataCategoryGroup</t>
    </r>
    <r>
      <rPr>
        <sz val="11"/>
        <color theme="1"/>
        <rFont val="Palatino Linotype"/>
        <family val="1"/>
      </rPr>
      <t xml:space="preserve"> and </t>
    </r>
    <r>
      <rPr>
        <b/>
        <sz val="11"/>
        <color theme="1"/>
        <rFont val="Palatino Linotype"/>
        <family val="1"/>
      </rPr>
      <t>categoryGroupVisibilities: dataCategorie</t>
    </r>
    <r>
      <rPr>
        <sz val="11"/>
        <color theme="1"/>
        <rFont val="Palatino Linotype"/>
        <family val="1"/>
      </rPr>
      <t xml:space="preserve">s: </t>
    </r>
    <r>
      <rPr>
        <b/>
        <sz val="11"/>
        <color theme="1"/>
        <rFont val="Palatino Linotype"/>
        <family val="1"/>
      </rPr>
      <t>visibility</t>
    </r>
    <r>
      <rPr>
        <sz val="11"/>
        <color theme="1"/>
        <rFont val="Palatino Linotype"/>
        <family val="1"/>
      </rPr>
      <t xml:space="preserve"> nodes to this worksheet.</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</si>
  <si>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</si>
  <si>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</si>
  <si>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</si>
  <si>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</si>
  <si>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</si>
  <si>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 xml:space="preserve">visibility </t>
    </r>
    <r>
      <rPr>
        <sz val="10"/>
        <color theme="1"/>
        <rFont val="Calibri"/>
        <family val="2"/>
        <scheme val="minor"/>
      </rPr>
      <t>column</t>
    </r>
    <r>
      <rPr>
        <b/>
        <sz val="10"/>
        <color theme="1"/>
        <rFont val="Calibri"/>
        <family val="2"/>
        <scheme val="minor"/>
      </rPr>
      <t xml:space="preserve"> </t>
    </r>
    <r>
      <rPr>
        <sz val="10"/>
        <color theme="1"/>
        <rFont val="Calibri"/>
        <family val="2"/>
        <scheme val="minor"/>
      </rPr>
      <t>are "DefaultOn", "DefaultOff", and "Hidden"</t>
    </r>
  </si>
  <si>
    <r>
      <t xml:space="preserve">Use the </t>
    </r>
    <r>
      <rPr>
        <b/>
        <sz val="12"/>
        <color theme="1"/>
        <rFont val="Palatino Linotype"/>
        <family val="1"/>
      </rPr>
      <t>ProfilePermSetImportExport.xlsm</t>
    </r>
    <r>
      <rPr>
        <sz val="12"/>
        <color theme="1"/>
        <rFont val="Palatino Linotype"/>
        <family val="1"/>
      </rPr>
      <t xml:space="preserve"> Macro-Enabled Microsoft Excel workbook to work with Salesforce Profiles and Permission Sets. Import Salesforce .profile and .permission set metadata files into Excel sheets for easy, more human-friendly viewing, filtering, and comparison than the Salesforce UI provides. You can even change your profiles and permission sets in Excel and export them back into usable metadata files that you can then deploy back into your Salesforce org!</t>
    </r>
  </si>
  <si>
    <t>Required Versions of Applications</t>
  </si>
  <si>
    <t>Salesforce Metadata API Version 23 or later, Microsoft Excel version 2007 or later (any version using .xlsx)</t>
  </si>
  <si>
    <t>What You Need Before You Use This</t>
  </si>
  <si>
    <r>
      <t>This template works with profile and permission set metadata component files that have been previously exported from Salesforce using tools such as the Ant Migration Tool .jar, the Eclipse Force.com IDE plugin, or the Visual Studio Code Salesforce extension pack. The file extensions of these text files should be .</t>
    </r>
    <r>
      <rPr>
        <b/>
        <sz val="11"/>
        <color theme="1"/>
        <rFont val="Palatino Linotype"/>
        <family val="1"/>
      </rPr>
      <t>profile</t>
    </r>
    <r>
      <rPr>
        <sz val="11"/>
        <color theme="1"/>
        <rFont val="Palatino Linotype"/>
        <family val="1"/>
      </rPr>
      <t xml:space="preserve">, </t>
    </r>
    <r>
      <rPr>
        <b/>
        <sz val="11"/>
        <color theme="1"/>
        <rFont val="Palatino Linotype"/>
        <family val="1"/>
      </rPr>
      <t>.permissionset</t>
    </r>
    <r>
      <rPr>
        <sz val="11"/>
        <color theme="1"/>
        <rFont val="Palatino Linotype"/>
        <family val="1"/>
      </rPr>
      <t xml:space="preserve">, </t>
    </r>
    <r>
      <rPr>
        <b/>
        <sz val="11"/>
        <color theme="1"/>
        <rFont val="Palatino Linotype"/>
        <family val="1"/>
      </rPr>
      <t>.profile--meta.xml</t>
    </r>
    <r>
      <rPr>
        <sz val="11"/>
        <color theme="1"/>
        <rFont val="Palatino Linotype"/>
        <family val="1"/>
      </rPr>
      <t>, or .</t>
    </r>
    <r>
      <rPr>
        <b/>
        <sz val="11"/>
        <color theme="1"/>
        <rFont val="Palatino Linotype"/>
        <family val="1"/>
      </rPr>
      <t>permissionset-meta.xml</t>
    </r>
    <r>
      <rPr>
        <sz val="11"/>
        <color theme="1"/>
        <rFont val="Palatino Linotype"/>
        <family val="1"/>
      </rPr>
      <t xml:space="preserve">.
Please note this Excel workbook </t>
    </r>
    <r>
      <rPr>
        <u/>
        <sz val="11"/>
        <color theme="1"/>
        <rFont val="Palatino Linotype"/>
        <family val="1"/>
      </rPr>
      <t>does not connect directly with Salesforce in any way</t>
    </r>
    <r>
      <rPr>
        <sz val="11"/>
        <color theme="1"/>
        <rFont val="Palatino Linotype"/>
        <family val="1"/>
      </rPr>
      <t>. You must have already retrieved the profile or permission set files from Salesforce prior to using this macro-enabled workbook.</t>
    </r>
  </si>
  <si>
    <t>Required Files to Run:</t>
  </si>
  <si>
    <r>
      <t xml:space="preserve">This </t>
    </r>
    <r>
      <rPr>
        <b/>
        <sz val="11"/>
        <color theme="1"/>
        <rFont val="Palatino Linotype"/>
        <family val="1"/>
      </rPr>
      <t>workbook</t>
    </r>
    <r>
      <rPr>
        <sz val="11"/>
        <color theme="1"/>
        <rFont val="Palatino Linotype"/>
        <family val="1"/>
      </rPr>
      <t xml:space="preserve">, </t>
    </r>
    <r>
      <rPr>
        <b/>
        <sz val="11"/>
        <color theme="1"/>
        <rFont val="Palatino Linotype"/>
        <family val="1"/>
      </rPr>
      <t>Profiles.xsd</t>
    </r>
    <r>
      <rPr>
        <sz val="11"/>
        <color theme="1"/>
        <rFont val="Palatino Linotype"/>
        <family val="1"/>
      </rPr>
      <t xml:space="preserve"> (the Salesforce Profile Schema file),</t>
    </r>
    <r>
      <rPr>
        <b/>
        <sz val="11"/>
        <color theme="1"/>
        <rFont val="Palatino Linotype"/>
        <family val="1"/>
      </rPr>
      <t xml:space="preserve"> PermissionSet.xsd</t>
    </r>
    <r>
      <rPr>
        <sz val="11"/>
        <color theme="1"/>
        <rFont val="Palatino Linotype"/>
        <family val="1"/>
      </rPr>
      <t xml:space="preserve"> (the Salesforce Permission Set Schema file)</t>
    </r>
  </si>
  <si>
    <t xml:space="preserve">Setup: </t>
  </si>
  <si>
    <t>Place the template file in a directory/folder that is a parent to your profiles and/or permission sets folder. Create your xsd schema folder as a child of the same folder. Please note that names are case sensitive. Your setup should mirror that shown in the following image:</t>
  </si>
  <si>
    <r>
      <rPr>
        <b/>
        <sz val="12"/>
        <color theme="1"/>
        <rFont val="Calibri"/>
        <family val="2"/>
        <scheme val="minor"/>
      </rPr>
      <t>To Show the Macro Selection Form</t>
    </r>
    <r>
      <rPr>
        <sz val="12"/>
        <color theme="1"/>
        <rFont val="Calibri"/>
        <family val="2"/>
        <scheme val="minor"/>
      </rPr>
      <t xml:space="preserve">: </t>
    </r>
  </si>
  <si>
    <r>
      <t xml:space="preserve">Press </t>
    </r>
    <r>
      <rPr>
        <b/>
        <sz val="11"/>
        <color theme="1"/>
        <rFont val="Palatino Linotype"/>
        <family val="1"/>
      </rPr>
      <t xml:space="preserve">Ctrl </t>
    </r>
    <r>
      <rPr>
        <sz val="11"/>
        <color theme="1"/>
        <rFont val="Palatino Linotype"/>
        <family val="1"/>
      </rPr>
      <t xml:space="preserve">+ </t>
    </r>
    <r>
      <rPr>
        <b/>
        <sz val="11"/>
        <color theme="1"/>
        <rFont val="Palatino Linotype"/>
        <family val="1"/>
      </rPr>
      <t>Shift</t>
    </r>
    <r>
      <rPr>
        <sz val="11"/>
        <color theme="1"/>
        <rFont val="Palatino Linotype"/>
        <family val="1"/>
      </rPr>
      <t xml:space="preserve"> +</t>
    </r>
    <r>
      <rPr>
        <b/>
        <sz val="11"/>
        <color theme="1"/>
        <rFont val="Palatino Linotype"/>
        <family val="1"/>
      </rPr>
      <t xml:space="preserve"> U. </t>
    </r>
    <r>
      <rPr>
        <sz val="11"/>
        <color theme="1"/>
        <rFont val="Palatino Linotype"/>
        <family val="1"/>
      </rPr>
      <t xml:space="preserve">If, for some reason, that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</si>
  <si>
    <t>Macro Security Issues:</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</si>
  <si>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</si>
  <si>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Re-creating the Template</t>
  </si>
  <si>
    <t>If you are unable to run macros from this template because it originates from an outside source, then you should be able to re-create your own version of this template on your own PC in Excel using the three exported VBA text files included with this project:
* ChooseSfdcMacroForm.frm
* ChooseSfdcMacroForm.frx
* ImportExportSfdcMetadata.bas</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</si>
  <si>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</si>
  <si>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Developed by Adrienne D. Millican for free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</si>
</sst>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sz val="11"/>
      <color rgb="FF000000"/>
      <name val="Calibri"/>
      <family val="2"/>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sz val="12"/>
      <color theme="1"/>
      <name val="Palatino Linotype"/>
      <family val="1"/>
    </font>
    <font>
      <b/>
      <sz val="12"/>
      <color theme="1"/>
      <name val="Palatino Linotype"/>
      <family val="1"/>
    </font>
    <font>
      <b/>
      <sz val="12"/>
      <color theme="1"/>
      <name val="Calibri"/>
      <family val="2"/>
    </font>
    <font>
      <u/>
      <sz val="11"/>
      <color theme="1"/>
      <name val="Palatino Linotype"/>
      <family val="1"/>
    </font>
  </fonts>
  <fills count="3">
    <fill>
      <patternFill patternType="none"/>
    </fill>
    <fill>
      <patternFill patternType="gray125"/>
    </fill>
    <fill>
      <patternFill patternType="solid">
        <fgColor theme="4"/>
        <bgColor indexed="64"/>
      </patternFill>
    </fill>
  </fills>
  <borders count="2">
    <border>
      <left/>
      <right/>
      <top/>
      <bottom/>
      <diagonal/>
    </border>
    <border>
      <left/>
      <right/>
      <top style="thick">
        <color indexed="64"/>
      </top>
      <bottom/>
      <diagonal/>
    </border>
  </borders>
  <cellStyleXfs count="2">
    <xf numFmtId="0" fontId="0" fillId="0" borderId="0"/>
    <xf numFmtId="0" fontId="2" fillId="0" borderId="0" applyNumberFormat="0" applyFill="0" applyBorder="0" applyAlignment="0" applyProtection="0"/>
  </cellStyleXfs>
  <cellXfs count="31">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10" fillId="0" borderId="0" xfId="0" applyFont="1" applyAlignment="1">
      <alignment vertical="center" shrinkToFit="1"/>
    </xf>
    <xf numFmtId="0" fontId="3" fillId="0" borderId="0" xfId="0" applyFont="1" applyAlignment="1">
      <alignment vertical="center" wrapText="1"/>
    </xf>
    <xf numFmtId="0" fontId="9" fillId="2" borderId="0" xfId="0" applyFont="1" applyFill="1"/>
    <xf numFmtId="0" fontId="2" fillId="0" borderId="0" xfId="1" applyAlignment="1">
      <alignment horizontal="center"/>
    </xf>
    <xf numFmtId="0" fontId="7" fillId="0" borderId="0" xfId="0" applyFont="1" applyAlignment="1">
      <alignment vertical="center" wrapText="1"/>
    </xf>
    <xf numFmtId="0" fontId="7" fillId="0" borderId="0" xfId="0" applyFont="1" applyAlignment="1">
      <alignment vertical="center"/>
    </xf>
    <xf numFmtId="0" fontId="16" fillId="0" borderId="0" xfId="0" applyFont="1" applyAlignment="1">
      <alignment horizontal="right" vertical="center"/>
    </xf>
    <xf numFmtId="0" fontId="10" fillId="0" borderId="0" xfId="0" applyFont="1" applyAlignment="1">
      <alignment horizontal="right" vertical="center"/>
    </xf>
    <xf numFmtId="0" fontId="4" fillId="0" borderId="0" xfId="0" applyFont="1" applyAlignment="1">
      <alignment horizontal="right" vertical="center"/>
    </xf>
    <xf numFmtId="0" fontId="4" fillId="0" borderId="0" xfId="0" applyFont="1" applyAlignment="1">
      <alignment horizontal="right" vertical="center" wrapText="1"/>
    </xf>
    <xf numFmtId="49" fontId="0" fillId="0" borderId="0" xfId="0" applyNumberFormat="1" applyAlignment="1">
      <alignment wrapText="1"/>
    </xf>
    <xf numFmtId="49" fontId="1" fillId="0" borderId="0" xfId="0" applyNumberFormat="1" applyFont="1" applyAlignment="1">
      <alignment wrapText="1"/>
    </xf>
    <xf numFmtId="0" fontId="7" fillId="0" borderId="0" xfId="0" applyFont="1" applyAlignment="1">
      <alignment vertical="center" wrapText="1"/>
    </xf>
    <xf numFmtId="0" fontId="0" fillId="0" borderId="0" xfId="0"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1" fillId="0" borderId="0" xfId="0" applyFont="1" applyAlignment="1">
      <alignment wrapText="1"/>
    </xf>
    <xf numFmtId="0" fontId="7" fillId="0" borderId="0" xfId="0" applyFont="1" applyAlignment="1">
      <alignment vertical="center"/>
    </xf>
    <xf numFmtId="0" fontId="11" fillId="0" borderId="0" xfId="0" applyFont="1" applyAlignment="1">
      <alignment horizontal="left" wrapText="1" shrinkToFit="1"/>
    </xf>
  </cellXfs>
  <cellStyles count="2">
    <cellStyle name="Hyperlink" xfId="1" builtinId="8"/>
    <cellStyle name="Normal" xfId="0" builtinId="0"/>
  </cellStyles>
  <dxfs count="7">
    <dxf>
      <numFmt numFmtId="30" formatCode="@"/>
    </dxf>
    <dxf>
      <numFmt numFmtId="30" formatCode="@"/>
    </dxf>
    <dxf>
      <numFmt numFmtId="30" formatCode="@"/>
    </dxf>
    <dxf>
      <numFmt numFmtId="30" formatCode="@"/>
    </dxf>
    <dxf>
      <numFmt numFmtId="30" formatCode="@"/>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1171575</xdr:colOff>
          <xdr:row>1</xdr:row>
          <xdr:rowOff>9525</xdr:rowOff>
        </xdr:from>
        <xdr:to>
          <xdr:col>8</xdr:col>
          <xdr:colOff>38100</xdr:colOff>
          <xdr:row>2</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51C9B-4654-4E02-AB14-98398B046F31}">
  <sheetPr codeName="Sheet17"/>
  <dimension ref="A1:Q13"/>
  <sheetViews>
    <sheetView tabSelected="1" workbookViewId="0">
      <selection activeCell="B3" sqref="B3:Q3"/>
    </sheetView>
  </sheetViews>
  <sheetFormatPr defaultRowHeight="15" x14ac:dyDescent="0.25"/>
  <cols>
    <col min="1" max="1" width="37.7109375" customWidth="1"/>
    <col min="2" max="2" width="20.140625" customWidth="1"/>
    <col min="4" max="4" width="23" customWidth="1"/>
  </cols>
  <sheetData>
    <row r="1" spans="1:17" ht="18" customHeight="1" x14ac:dyDescent="0.25">
      <c r="A1" s="26" t="s">
        <v>58</v>
      </c>
      <c r="B1" s="27"/>
      <c r="C1" s="27"/>
      <c r="D1" s="27"/>
      <c r="E1" s="27"/>
      <c r="F1" s="27"/>
      <c r="G1" s="27"/>
      <c r="H1" s="27"/>
      <c r="I1" s="27"/>
      <c r="J1" s="27"/>
      <c r="K1" s="27"/>
      <c r="L1" s="27"/>
      <c r="M1" s="27"/>
      <c r="N1" s="27"/>
      <c r="O1" s="27"/>
      <c r="P1" s="27"/>
      <c r="Q1" s="27"/>
    </row>
    <row r="2" spans="1:17" ht="21.75" customHeight="1" x14ac:dyDescent="0.25"/>
    <row r="3" spans="1:17" ht="79.5" customHeight="1" x14ac:dyDescent="0.25">
      <c r="A3" s="18" t="s">
        <v>59</v>
      </c>
      <c r="B3" s="24" t="s">
        <v>60</v>
      </c>
      <c r="C3" s="25"/>
      <c r="D3" s="25"/>
      <c r="E3" s="25"/>
      <c r="F3" s="25"/>
      <c r="G3" s="25"/>
      <c r="H3" s="25"/>
      <c r="I3" s="25"/>
      <c r="J3" s="25"/>
      <c r="K3" s="25"/>
      <c r="L3" s="25"/>
      <c r="M3" s="25"/>
      <c r="N3" s="25"/>
      <c r="O3" s="25"/>
      <c r="P3" s="25"/>
      <c r="Q3" s="25"/>
    </row>
    <row r="4" spans="1:17" ht="113.25" customHeight="1" x14ac:dyDescent="0.25">
      <c r="A4" s="18" t="s">
        <v>61</v>
      </c>
      <c r="B4" s="24" t="s">
        <v>62</v>
      </c>
      <c r="C4" s="25"/>
      <c r="D4" s="25"/>
      <c r="E4" s="25"/>
      <c r="F4" s="25"/>
      <c r="G4" s="25"/>
      <c r="H4" s="25"/>
      <c r="I4" s="25"/>
      <c r="J4" s="25"/>
      <c r="K4" s="25"/>
      <c r="L4" s="25"/>
      <c r="M4" s="25"/>
      <c r="N4" s="25"/>
      <c r="O4" s="25"/>
      <c r="P4" s="25"/>
      <c r="Q4" s="25"/>
    </row>
    <row r="5" spans="1:17" ht="27" customHeight="1" x14ac:dyDescent="0.25">
      <c r="A5" s="18" t="s">
        <v>63</v>
      </c>
      <c r="B5" s="24" t="s">
        <v>64</v>
      </c>
      <c r="C5" s="25"/>
      <c r="D5" s="25"/>
      <c r="E5" s="25"/>
      <c r="F5" s="25"/>
      <c r="G5" s="25"/>
      <c r="H5" s="25"/>
      <c r="I5" s="25"/>
      <c r="J5" s="25"/>
      <c r="K5" s="25"/>
      <c r="L5" s="25"/>
      <c r="M5" s="25"/>
      <c r="N5" s="25"/>
      <c r="O5" s="25"/>
      <c r="P5" s="25"/>
      <c r="Q5" s="25"/>
    </row>
    <row r="6" spans="1:17" ht="47.25" customHeight="1" x14ac:dyDescent="0.25">
      <c r="A6" s="18" t="s">
        <v>65</v>
      </c>
      <c r="B6" s="24" t="s">
        <v>66</v>
      </c>
      <c r="C6" s="24"/>
      <c r="D6" s="24"/>
      <c r="E6" s="24"/>
      <c r="F6" s="24"/>
      <c r="G6" s="24"/>
      <c r="H6" s="24"/>
      <c r="I6" s="24"/>
      <c r="J6" s="24"/>
      <c r="K6" s="24"/>
      <c r="L6" s="24"/>
      <c r="M6" s="24"/>
      <c r="N6" s="24"/>
      <c r="O6" s="24"/>
      <c r="P6" s="24"/>
      <c r="Q6" s="24"/>
    </row>
    <row r="7" spans="1:17" ht="16.5" x14ac:dyDescent="0.25">
      <c r="A7" s="19"/>
      <c r="B7" s="17"/>
      <c r="C7" s="17"/>
      <c r="D7" s="17"/>
      <c r="E7" s="17"/>
      <c r="F7" s="17"/>
      <c r="G7" s="17"/>
      <c r="H7" s="17"/>
      <c r="I7" s="17"/>
      <c r="J7" s="17"/>
      <c r="K7" s="17"/>
      <c r="L7" s="17"/>
      <c r="M7" s="17"/>
      <c r="N7" s="17"/>
      <c r="O7" s="17"/>
      <c r="P7" s="17"/>
      <c r="Q7" s="17"/>
    </row>
    <row r="8" spans="1:17" ht="51" customHeight="1" x14ac:dyDescent="0.25">
      <c r="A8" s="19" t="s">
        <v>67</v>
      </c>
      <c r="B8" s="24" t="s">
        <v>68</v>
      </c>
      <c r="C8" s="25"/>
      <c r="D8" s="25"/>
      <c r="E8" s="25"/>
      <c r="F8" s="25"/>
      <c r="G8" s="25"/>
      <c r="H8" s="25"/>
      <c r="I8" s="25"/>
      <c r="J8" s="25"/>
      <c r="K8" s="25"/>
      <c r="L8" s="25"/>
      <c r="M8" s="25"/>
      <c r="N8" s="25"/>
      <c r="O8" s="25"/>
      <c r="P8" s="25"/>
      <c r="Q8" s="25"/>
    </row>
    <row r="9" spans="1:17" ht="15.75" x14ac:dyDescent="0.25">
      <c r="A9" s="20" t="s">
        <v>69</v>
      </c>
      <c r="B9" s="24" t="s">
        <v>70</v>
      </c>
      <c r="C9" s="25"/>
      <c r="D9" s="25"/>
      <c r="E9" s="25"/>
      <c r="F9" s="25"/>
      <c r="G9" s="25"/>
      <c r="H9" s="25"/>
      <c r="I9" s="25"/>
      <c r="J9" s="25"/>
      <c r="K9" s="25"/>
      <c r="L9" s="25"/>
      <c r="M9" s="25"/>
      <c r="N9" s="25"/>
      <c r="O9" s="25"/>
      <c r="P9" s="25"/>
      <c r="Q9" s="25"/>
    </row>
    <row r="10" spans="1:17" ht="114" customHeight="1" x14ac:dyDescent="0.25">
      <c r="A10" s="21" t="s">
        <v>71</v>
      </c>
      <c r="B10" s="24" t="s">
        <v>72</v>
      </c>
      <c r="C10" s="25"/>
      <c r="D10" s="25"/>
      <c r="E10" s="25"/>
      <c r="F10" s="25"/>
      <c r="G10" s="25"/>
      <c r="H10" s="25"/>
      <c r="I10" s="25"/>
      <c r="J10" s="25"/>
      <c r="K10" s="25"/>
      <c r="L10" s="25"/>
      <c r="M10" s="25"/>
      <c r="N10" s="25"/>
      <c r="O10" s="25"/>
      <c r="P10" s="25"/>
      <c r="Q10" s="25"/>
    </row>
    <row r="11" spans="1:17" ht="137.25" customHeight="1" x14ac:dyDescent="0.25">
      <c r="B11" s="24" t="s">
        <v>73</v>
      </c>
      <c r="C11" s="24"/>
      <c r="D11" s="24"/>
      <c r="E11" s="24"/>
      <c r="F11" s="24"/>
      <c r="G11" s="24"/>
      <c r="H11" s="24"/>
      <c r="I11" s="24"/>
      <c r="J11" s="24"/>
      <c r="K11" s="24"/>
      <c r="L11" s="24"/>
      <c r="M11" s="24"/>
      <c r="N11" s="24"/>
      <c r="O11" s="24"/>
      <c r="P11" s="24"/>
      <c r="Q11" s="24"/>
    </row>
    <row r="12" spans="1:17" ht="16.5" x14ac:dyDescent="0.25">
      <c r="B12" s="16"/>
      <c r="C12" s="16"/>
      <c r="D12" s="16"/>
      <c r="E12" s="16"/>
      <c r="F12" s="16"/>
      <c r="G12" s="16"/>
      <c r="H12" s="16"/>
      <c r="I12" s="16"/>
      <c r="J12" s="16"/>
      <c r="K12" s="16"/>
      <c r="L12" s="16"/>
      <c r="M12" s="16"/>
      <c r="N12" s="16"/>
      <c r="O12" s="16"/>
      <c r="P12" s="16"/>
      <c r="Q12" s="16"/>
    </row>
    <row r="13" spans="1:17" x14ac:dyDescent="0.25">
      <c r="A13" t="s">
        <v>74</v>
      </c>
    </row>
  </sheetData>
  <mergeCells count="9">
    <mergeCell ref="B9:Q9"/>
    <mergeCell ref="B10:Q10"/>
    <mergeCell ref="B11:Q11"/>
    <mergeCell ref="A1:Q1"/>
    <mergeCell ref="B3:Q3"/>
    <mergeCell ref="B4:Q4"/>
    <mergeCell ref="B5:Q5"/>
    <mergeCell ref="B6:Q6"/>
    <mergeCell ref="B8:Q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workbookViewId="0">
      <selection activeCell="E15" sqref="E15"/>
    </sheetView>
  </sheetViews>
  <sheetFormatPr defaultRowHeight="15" x14ac:dyDescent="0.25"/>
  <cols>
    <col min="1" max="1" width="60.7109375" customWidth="1"/>
    <col min="2" max="3" width="45.7109375" customWidth="1"/>
    <col min="4" max="11" width="25.140625" customWidth="1"/>
  </cols>
  <sheetData>
    <row r="1" spans="1:11" ht="39.950000000000003" customHeight="1" x14ac:dyDescent="0.3">
      <c r="A1" s="13"/>
      <c r="B1" s="11" t="s">
        <v>36</v>
      </c>
      <c r="C1" s="11" t="s">
        <v>37</v>
      </c>
      <c r="D1" s="2"/>
      <c r="E1" s="2"/>
      <c r="F1" s="2"/>
      <c r="G1" s="2"/>
      <c r="H1" s="2"/>
      <c r="I1" s="2"/>
      <c r="J1" s="2"/>
      <c r="K1" s="2"/>
    </row>
    <row r="2" spans="1:11" x14ac:dyDescent="0.25">
      <c r="A2" s="2" t="s">
        <v>38</v>
      </c>
      <c r="B2" s="22"/>
      <c r="C2" s="23"/>
      <c r="D2" s="2"/>
      <c r="E2" s="2"/>
      <c r="F2" s="2"/>
      <c r="G2" s="2"/>
      <c r="H2" s="2"/>
      <c r="I2" s="2"/>
      <c r="J2" s="2"/>
      <c r="K2" s="2"/>
    </row>
    <row r="3" spans="1:11" x14ac:dyDescent="0.25">
      <c r="A3" s="2" t="s">
        <v>13</v>
      </c>
      <c r="B3" s="22"/>
      <c r="C3" s="22"/>
    </row>
    <row r="4" spans="1:11" x14ac:dyDescent="0.25">
      <c r="A4" s="2" t="s">
        <v>12</v>
      </c>
      <c r="B4" s="22"/>
      <c r="C4" s="22"/>
    </row>
    <row r="5" spans="1:11" x14ac:dyDescent="0.25">
      <c r="A5" s="2"/>
      <c r="B5" s="22"/>
      <c r="C5" s="22"/>
    </row>
    <row r="6" spans="1:11" x14ac:dyDescent="0.25">
      <c r="A6" s="2" t="s">
        <v>5</v>
      </c>
      <c r="B6" s="1"/>
      <c r="C6" t="s">
        <v>39</v>
      </c>
    </row>
    <row r="7" spans="1:11" x14ac:dyDescent="0.25">
      <c r="A7" s="2" t="s">
        <v>44</v>
      </c>
      <c r="B7" s="1" t="s">
        <v>39</v>
      </c>
    </row>
    <row r="8" spans="1:11" ht="15.75" thickBot="1" x14ac:dyDescent="0.3">
      <c r="A8" s="2"/>
      <c r="B8" s="1"/>
    </row>
    <row r="9" spans="1:11" ht="16.5" thickTop="1" x14ac:dyDescent="0.25">
      <c r="A9" s="7" t="s">
        <v>40</v>
      </c>
      <c r="B9" s="8"/>
      <c r="C9" s="9"/>
    </row>
    <row r="10" spans="1:11" x14ac:dyDescent="0.25">
      <c r="A10" s="6" t="s">
        <v>46</v>
      </c>
      <c r="B10" s="3" t="str">
        <f>HYPERLINK("#ApplicationVisibility!AppVisA1","ApplicationVisibility")</f>
        <v>ApplicationVisibility</v>
      </c>
    </row>
    <row r="11" spans="1:11" x14ac:dyDescent="0.25">
      <c r="A11" s="6" t="s">
        <v>47</v>
      </c>
      <c r="B11" s="3" t="str">
        <f>HYPERLINK("#CategoryGroupVisibilities!DataCatA1","CategoryGroupVisibilities")</f>
        <v>CategoryGroupVisibilities</v>
      </c>
      <c r="C11" t="s">
        <v>48</v>
      </c>
    </row>
    <row r="12" spans="1:11" x14ac:dyDescent="0.25">
      <c r="A12" s="6" t="s">
        <v>46</v>
      </c>
      <c r="B12" s="3" t="str">
        <f>HYPERLINK("#ApexClassAccess!ApexClassA1","ApexClassAccess")</f>
        <v>ApexClassAccess</v>
      </c>
    </row>
    <row r="13" spans="1:11" x14ac:dyDescent="0.25">
      <c r="A13" s="6" t="s">
        <v>46</v>
      </c>
      <c r="B13" s="3" t="str">
        <f>HYPERLINK("#CustomPermissions!CustPermsA1","CustomPermissions")</f>
        <v>CustomPermissions</v>
      </c>
    </row>
    <row r="14" spans="1:11" x14ac:dyDescent="0.25">
      <c r="A14" s="6" t="s">
        <v>46</v>
      </c>
      <c r="B14" s="3" t="str">
        <f>HYPERLINK("#ExternalDataSourceAccesses!ExtDataSrcA1","ExternalDataSourceAccesses")</f>
        <v>ExternalDataSourceAccesses</v>
      </c>
    </row>
    <row r="15" spans="1:11" x14ac:dyDescent="0.25">
      <c r="A15" s="6" t="s">
        <v>46</v>
      </c>
      <c r="B15" s="3" t="str">
        <f>HYPERLINK("#FieldPermissions!FieldPermsA1","FieldPermissions")</f>
        <v>FieldPermissions</v>
      </c>
    </row>
    <row r="16" spans="1:11" x14ac:dyDescent="0.25">
      <c r="A16" s="6" t="s">
        <v>47</v>
      </c>
      <c r="B16" s="3" t="str">
        <f>HYPERLINK("#LayoutAssignments!LayoutAssignsA1","LayoutAssignments")</f>
        <v>LayoutAssignments</v>
      </c>
    </row>
    <row r="17" spans="1:2" x14ac:dyDescent="0.25">
      <c r="A17" s="6" t="s">
        <v>47</v>
      </c>
      <c r="B17" s="3" t="str">
        <f>HYPERLINK("#LoginHours!LoginHoursA1","LoginHours")</f>
        <v>LoginHours</v>
      </c>
    </row>
    <row r="18" spans="1:2" x14ac:dyDescent="0.25">
      <c r="A18" s="6" t="s">
        <v>47</v>
      </c>
      <c r="B18" s="3" t="str">
        <f>HYPERLINK("#LoginIpRanges!LoginIpRangesA1","LoginIpRanges")</f>
        <v>LoginIpRanges</v>
      </c>
    </row>
    <row r="19" spans="1:2" x14ac:dyDescent="0.25">
      <c r="A19" s="6" t="s">
        <v>46</v>
      </c>
      <c r="B19" s="3" t="str">
        <f>HYPERLINK("#ObjectPermissions!ObjectPermsA1","ObjectPermissions")</f>
        <v>ObjectPermissions</v>
      </c>
    </row>
    <row r="20" spans="1:2" x14ac:dyDescent="0.25">
      <c r="A20" s="6" t="s">
        <v>46</v>
      </c>
      <c r="B20" s="3" t="str">
        <f>HYPERLINK("#VfPageAccess!VfPageAccessA1","VfPageAccess")</f>
        <v>VfPageAccess</v>
      </c>
    </row>
    <row r="21" spans="1:2" x14ac:dyDescent="0.25">
      <c r="A21" s="6" t="s">
        <v>47</v>
      </c>
      <c r="B21" s="3" t="str">
        <f>HYPERLINK("#ProfileActionOverrides!ProfActionOverridesA1","ProfileActionOverrides")</f>
        <v>ProfileActionOverrides</v>
      </c>
    </row>
    <row r="22" spans="1:2" x14ac:dyDescent="0.25">
      <c r="A22" s="6" t="s">
        <v>46</v>
      </c>
      <c r="B22" s="3" t="str">
        <f>HYPERLINK("#RecordTypeVisibility!RecordTypeVisA1","RecordTypeVisibility")</f>
        <v>RecordTypeVisibility</v>
      </c>
    </row>
    <row r="23" spans="1:2" x14ac:dyDescent="0.25">
      <c r="A23" s="6" t="s">
        <v>46</v>
      </c>
      <c r="B23" s="3" t="str">
        <f>HYPERLINK("#TabVisibilities!TabVisA1","TabVisibilities")</f>
        <v>TabVisibilities</v>
      </c>
    </row>
    <row r="24" spans="1:2" x14ac:dyDescent="0.25">
      <c r="A24" s="6" t="s">
        <v>46</v>
      </c>
      <c r="B24" s="3" t="str">
        <f>HYPERLINK("#UserPermissions!UserPermsA1","UserPermissions")</f>
        <v>UserPermissions</v>
      </c>
    </row>
  </sheetData>
  <autoFilter ref="A9:A24" xr:uid="{9EF9B31E-3D70-4FE6-9FFE-17D6B5DDDFCA}"/>
  <pageMargins left="0.7" right="0.7" top="0.75" bottom="0.75" header="0.3" footer="0.3"/>
  <pageSetup orientation="portrait" horizontalDpi="0" verticalDpi="0" r:id="rId1"/>
  <ignoredErrors>
    <ignoredError sqref="B13 B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from>
                    <xdr:col>7</xdr:col>
                    <xdr:colOff>1171575</xdr:colOff>
                    <xdr:row>1</xdr:row>
                    <xdr:rowOff>9525</xdr:rowOff>
                  </from>
                  <to>
                    <xdr:col>8</xdr:col>
                    <xdr:colOff>38100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election activeCell="B10" sqref="B10:B11"/>
    </sheetView>
  </sheetViews>
  <sheetFormatPr defaultRowHeight="15" x14ac:dyDescent="0.25"/>
  <cols>
    <col min="1" max="1" width="40.7109375" customWidth="1"/>
    <col min="2" max="2" width="23.28515625" customWidth="1"/>
    <col min="3" max="3" width="20.7109375" customWidth="1"/>
    <col min="4" max="4" width="25.7109375" customWidth="1"/>
    <col min="5" max="5" width="45.7109375" customWidth="1"/>
    <col min="6" max="6" width="16.7109375" customWidth="1"/>
  </cols>
  <sheetData>
    <row r="1" spans="1:6" ht="39.950000000000003" customHeight="1" x14ac:dyDescent="0.25">
      <c r="A1" s="12"/>
      <c r="B1" s="28" t="s">
        <v>52</v>
      </c>
      <c r="C1" s="28"/>
      <c r="D1" s="15" t="str">
        <f>HYPERLINK("#BasicInfo!ProfileNameA1","Back to Basic Info Tab")</f>
        <v>Back to Basic Info Tab</v>
      </c>
      <c r="F1" s="3"/>
    </row>
    <row r="2" spans="1:6" ht="18" customHeight="1" x14ac:dyDescent="0.3">
      <c r="A2" s="4"/>
      <c r="C2" s="3"/>
      <c r="D2" s="3"/>
      <c r="F2" s="3"/>
    </row>
    <row r="3" spans="1:6" ht="18" customHeight="1" x14ac:dyDescent="0.25">
      <c r="A3" s="5" t="s">
        <v>41</v>
      </c>
      <c r="C3" s="3"/>
      <c r="D3" s="3"/>
      <c r="F3" s="3"/>
    </row>
    <row r="4" spans="1:6" x14ac:dyDescent="0.25">
      <c r="A4" t="s">
        <v>18</v>
      </c>
      <c r="B4" t="s">
        <v>1</v>
      </c>
      <c r="C4" t="s">
        <v>0</v>
      </c>
    </row>
    <row r="5" spans="1:6" x14ac:dyDescent="0.25">
      <c r="A5" s="1"/>
    </row>
    <row r="6" spans="1:6" x14ac:dyDescent="0.25">
      <c r="A6" s="1"/>
    </row>
    <row r="8" spans="1:6" ht="15.75" x14ac:dyDescent="0.25">
      <c r="A8" s="5" t="s">
        <v>42</v>
      </c>
    </row>
    <row r="9" spans="1:6" x14ac:dyDescent="0.25">
      <c r="A9" t="s">
        <v>18</v>
      </c>
      <c r="B9" t="s">
        <v>1</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8"/>
  <sheetViews>
    <sheetView workbookViewId="0">
      <selection activeCell="D1" sqref="D1"/>
    </sheetView>
  </sheetViews>
  <sheetFormatPr defaultRowHeight="15" x14ac:dyDescent="0.25"/>
  <cols>
    <col min="1" max="1" width="40.7109375" customWidth="1"/>
    <col min="2" max="3" width="20.7109375" customWidth="1"/>
    <col min="4" max="4" width="25.7109375" customWidth="1"/>
  </cols>
  <sheetData>
    <row r="1" spans="1:9" ht="39.950000000000003" customHeight="1" x14ac:dyDescent="0.25">
      <c r="A1" s="12"/>
      <c r="D1" s="15" t="str">
        <f>HYPERLINK("#BasicInfo!ProfileNameA1","Back to Basic Info Tab")</f>
        <v>Back to Basic Info Tab</v>
      </c>
    </row>
    <row r="2" spans="1:9" ht="18.75" x14ac:dyDescent="0.3">
      <c r="A2" s="4"/>
      <c r="D2" s="3"/>
    </row>
    <row r="3" spans="1:9" ht="15.75" x14ac:dyDescent="0.25">
      <c r="A3" s="5" t="s">
        <v>43</v>
      </c>
      <c r="D3" s="3"/>
    </row>
    <row r="4" spans="1:9" ht="15.75" x14ac:dyDescent="0.25">
      <c r="A4" s="5"/>
      <c r="D4" s="3"/>
    </row>
    <row r="5" spans="1:9" ht="51" customHeight="1" x14ac:dyDescent="0.25">
      <c r="A5" s="24" t="s">
        <v>49</v>
      </c>
      <c r="B5" s="24"/>
      <c r="C5" s="24"/>
      <c r="D5" s="24"/>
      <c r="E5" s="24"/>
      <c r="F5" s="24"/>
      <c r="G5" s="24"/>
      <c r="H5" s="24"/>
      <c r="I5" s="24"/>
    </row>
    <row r="6" spans="1:9" ht="144" customHeight="1" x14ac:dyDescent="0.25">
      <c r="A6" s="24" t="s">
        <v>51</v>
      </c>
      <c r="B6" s="24"/>
      <c r="C6" s="24"/>
      <c r="D6" s="24"/>
      <c r="E6" s="24"/>
      <c r="F6" s="24"/>
      <c r="G6" s="24"/>
      <c r="H6" s="24"/>
      <c r="I6" s="24"/>
    </row>
    <row r="7" spans="1:9" ht="36.75" customHeight="1" x14ac:dyDescent="0.25">
      <c r="A7" s="24" t="s">
        <v>50</v>
      </c>
      <c r="B7" s="29"/>
      <c r="C7" s="29"/>
      <c r="D7" s="29"/>
      <c r="E7" s="29"/>
      <c r="F7" s="29"/>
      <c r="G7" s="29"/>
      <c r="H7" s="29"/>
      <c r="I7" s="29"/>
    </row>
    <row r="8" spans="1:9" x14ac:dyDescent="0.25">
      <c r="D8" s="10"/>
    </row>
  </sheetData>
  <mergeCells count="3">
    <mergeCell ref="A5:I5"/>
    <mergeCell ref="A6:I6"/>
    <mergeCell ref="A7:I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D10"/>
  <sheetViews>
    <sheetView workbookViewId="0">
      <selection activeCell="B10" sqref="B10:B11"/>
    </sheetView>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17</v>
      </c>
      <c r="B4" t="s">
        <v>2</v>
      </c>
    </row>
    <row r="5" spans="1:4" x14ac:dyDescent="0.25">
      <c r="A5" s="1"/>
    </row>
    <row r="6" spans="1:4" x14ac:dyDescent="0.25">
      <c r="A6" s="1"/>
    </row>
    <row r="8" spans="1:4" ht="15.75" x14ac:dyDescent="0.25">
      <c r="A8" s="5" t="s">
        <v>42</v>
      </c>
    </row>
    <row r="9" spans="1:4" x14ac:dyDescent="0.25">
      <c r="A9" t="s">
        <v>17</v>
      </c>
      <c r="B9" t="s">
        <v>2</v>
      </c>
    </row>
    <row r="10" spans="1:4"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D10"/>
  <sheetViews>
    <sheetView workbookViewId="0">
      <selection activeCell="E17" sqref="E17"/>
    </sheetView>
  </sheetViews>
  <sheetFormatPr defaultRowHeight="15" x14ac:dyDescent="0.25"/>
  <cols>
    <col min="1" max="1" width="40.7109375" customWidth="1"/>
    <col min="2" max="3" width="20.7109375" customWidth="1"/>
    <col min="4" max="4" width="25.855468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16</v>
      </c>
      <c r="B4" t="s">
        <v>2</v>
      </c>
    </row>
    <row r="5" spans="1:4" x14ac:dyDescent="0.25">
      <c r="A5" s="1"/>
    </row>
    <row r="6" spans="1:4" x14ac:dyDescent="0.25">
      <c r="A6" s="1"/>
    </row>
    <row r="8" spans="1:4" ht="15.75" x14ac:dyDescent="0.25">
      <c r="A8" s="5" t="s">
        <v>42</v>
      </c>
    </row>
    <row r="9" spans="1:4" x14ac:dyDescent="0.25">
      <c r="A9" t="s">
        <v>16</v>
      </c>
      <c r="B9" t="s">
        <v>2</v>
      </c>
    </row>
    <row r="10" spans="1:4"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D10"/>
  <sheetViews>
    <sheetView workbookViewId="0">
      <selection activeCell="D8" sqref="D8"/>
    </sheetView>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15</v>
      </c>
      <c r="B4" t="s">
        <v>2</v>
      </c>
    </row>
    <row r="5" spans="1:4" x14ac:dyDescent="0.25">
      <c r="A5" s="1"/>
    </row>
    <row r="6" spans="1:4" x14ac:dyDescent="0.25">
      <c r="A6" s="1"/>
    </row>
    <row r="8" spans="1:4" ht="15.75" x14ac:dyDescent="0.25">
      <c r="A8" s="5" t="s">
        <v>42</v>
      </c>
    </row>
    <row r="9" spans="1:4" x14ac:dyDescent="0.25">
      <c r="A9" t="s">
        <v>15</v>
      </c>
      <c r="B9" t="s">
        <v>2</v>
      </c>
    </row>
    <row r="10" spans="1:4"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D10"/>
  <sheetViews>
    <sheetView workbookViewId="0">
      <selection activeCell="C11" sqref="C11"/>
    </sheetView>
  </sheetViews>
  <sheetFormatPr defaultRowHeight="15" x14ac:dyDescent="0.25"/>
  <cols>
    <col min="1" max="1" width="40.7109375" customWidth="1"/>
    <col min="2" max="3" width="20.7109375" customWidth="1"/>
    <col min="4" max="4" width="21.140625" customWidth="1"/>
  </cols>
  <sheetData>
    <row r="1" spans="1:4" ht="39.950000000000003" customHeight="1" x14ac:dyDescent="0.25">
      <c r="A1" s="12"/>
      <c r="B1" s="28" t="s">
        <v>54</v>
      </c>
      <c r="C1" s="28"/>
      <c r="D1" s="15" t="str">
        <f>HYPERLINK("#BasicInfo!ProfileNameA1","Back to Basic Info Tab")</f>
        <v>Back to Basic Info Tab</v>
      </c>
    </row>
    <row r="2" spans="1:4" ht="19.5" customHeight="1" x14ac:dyDescent="0.3">
      <c r="A2" s="4"/>
      <c r="D2" s="3"/>
    </row>
    <row r="3" spans="1:4" ht="19.5" customHeight="1" x14ac:dyDescent="0.25">
      <c r="A3" s="5" t="s">
        <v>41</v>
      </c>
      <c r="D3" s="3"/>
    </row>
    <row r="4" spans="1:4" x14ac:dyDescent="0.25">
      <c r="A4" t="s">
        <v>14</v>
      </c>
      <c r="B4" t="s">
        <v>4</v>
      </c>
      <c r="C4" t="s">
        <v>3</v>
      </c>
    </row>
    <row r="5" spans="1:4" x14ac:dyDescent="0.25">
      <c r="A5" s="1"/>
    </row>
    <row r="6" spans="1:4" x14ac:dyDescent="0.25">
      <c r="A6" s="1"/>
    </row>
    <row r="8" spans="1:4" ht="15.75" x14ac:dyDescent="0.25">
      <c r="A8" s="5" t="s">
        <v>42</v>
      </c>
    </row>
    <row r="9" spans="1:4" x14ac:dyDescent="0.25">
      <c r="A9" t="s">
        <v>14</v>
      </c>
      <c r="B9" t="s">
        <v>4</v>
      </c>
      <c r="C9" t="s">
        <v>3</v>
      </c>
    </row>
    <row r="10" spans="1:4"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D5"/>
  <sheetViews>
    <sheetView workbookViewId="0">
      <selection activeCell="B6" sqref="B6"/>
    </sheetView>
  </sheetViews>
  <sheetFormatPr defaultRowHeight="15" x14ac:dyDescent="0.25"/>
  <cols>
    <col min="1" max="1" width="40.7109375" customWidth="1"/>
    <col min="2" max="3" width="20.7109375" customWidth="1"/>
    <col min="4" max="4" width="23.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19</v>
      </c>
      <c r="B4" t="s">
        <v>20</v>
      </c>
    </row>
    <row r="5" spans="1:4"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D5"/>
  <sheetViews>
    <sheetView workbookViewId="0">
      <selection activeCell="B5" sqref="B5"/>
    </sheetView>
  </sheetViews>
  <sheetFormatPr defaultRowHeight="15" x14ac:dyDescent="0.25"/>
  <cols>
    <col min="1" max="1" width="34.5703125" customWidth="1"/>
    <col min="2" max="2" width="39.5703125" customWidth="1"/>
    <col min="3"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21</v>
      </c>
      <c r="B4" t="s">
        <v>22</v>
      </c>
    </row>
    <row r="5" spans="1:4"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D5"/>
  <sheetViews>
    <sheetView workbookViewId="0">
      <selection activeCell="A5" sqref="A5"/>
    </sheetView>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23</v>
      </c>
      <c r="B4" t="s">
        <v>24</v>
      </c>
      <c r="C4" t="s">
        <v>25</v>
      </c>
    </row>
    <row r="5" spans="1:4"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G10"/>
  <sheetViews>
    <sheetView workbookViewId="0">
      <selection activeCell="G11" sqref="B10:G11"/>
    </sheetView>
  </sheetViews>
  <sheetFormatPr defaultRowHeight="15" x14ac:dyDescent="0.25"/>
  <cols>
    <col min="1" max="1" width="40.7109375" customWidth="1"/>
    <col min="2" max="4" width="20.7109375" customWidth="1"/>
    <col min="5" max="5" width="23.7109375" customWidth="1"/>
    <col min="6" max="6" width="19.42578125" customWidth="1"/>
    <col min="7" max="7" width="19.140625" bestFit="1" customWidth="1"/>
  </cols>
  <sheetData>
    <row r="1" spans="1:7" ht="39.950000000000003" customHeight="1" x14ac:dyDescent="0.25">
      <c r="A1" s="12"/>
      <c r="B1" s="30" t="s">
        <v>55</v>
      </c>
      <c r="C1" s="30"/>
      <c r="D1" s="28"/>
      <c r="E1" s="15" t="str">
        <f>HYPERLINK("#BasicInfo!ProfileNameA1","Back to Basic Info Tab")</f>
        <v>Back to Basic Info Tab</v>
      </c>
    </row>
    <row r="2" spans="1:7" ht="18.75" x14ac:dyDescent="0.3">
      <c r="A2" s="4"/>
      <c r="D2" s="3"/>
    </row>
    <row r="3" spans="1:7" ht="15.75" x14ac:dyDescent="0.25">
      <c r="A3" s="5" t="s">
        <v>41</v>
      </c>
      <c r="D3" s="3"/>
    </row>
    <row r="4" spans="1:7" x14ac:dyDescent="0.25">
      <c r="A4" t="s">
        <v>45</v>
      </c>
      <c r="B4" t="s">
        <v>26</v>
      </c>
      <c r="C4" t="s">
        <v>27</v>
      </c>
      <c r="D4" t="s">
        <v>28</v>
      </c>
      <c r="E4" t="s">
        <v>29</v>
      </c>
      <c r="F4" t="s">
        <v>30</v>
      </c>
      <c r="G4" t="s">
        <v>31</v>
      </c>
    </row>
    <row r="5" spans="1:7" x14ac:dyDescent="0.25">
      <c r="A5" s="1"/>
      <c r="B5" s="1"/>
      <c r="C5" s="1"/>
      <c r="D5" s="1"/>
      <c r="E5" s="1"/>
      <c r="F5" s="1"/>
      <c r="G5" s="1"/>
    </row>
    <row r="6" spans="1:7" x14ac:dyDescent="0.25">
      <c r="A6" s="1"/>
      <c r="B6" s="1"/>
      <c r="C6" s="1"/>
      <c r="D6" s="1"/>
      <c r="E6" s="1"/>
      <c r="F6" s="1"/>
      <c r="G6" s="1"/>
    </row>
    <row r="8" spans="1:7" ht="15.75" x14ac:dyDescent="0.25">
      <c r="A8" s="5" t="s">
        <v>42</v>
      </c>
    </row>
    <row r="9" spans="1:7" x14ac:dyDescent="0.25">
      <c r="A9" t="s">
        <v>45</v>
      </c>
      <c r="B9" t="s">
        <v>26</v>
      </c>
      <c r="C9" t="s">
        <v>27</v>
      </c>
      <c r="D9" t="s">
        <v>28</v>
      </c>
      <c r="E9" t="s">
        <v>29</v>
      </c>
      <c r="F9" t="s">
        <v>30</v>
      </c>
      <c r="G9" t="s">
        <v>31</v>
      </c>
    </row>
    <row r="10" spans="1:7"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D10"/>
  <sheetViews>
    <sheetView workbookViewId="0">
      <selection activeCell="B10" sqref="B10:B11"/>
    </sheetView>
  </sheetViews>
  <sheetFormatPr defaultRowHeight="15" x14ac:dyDescent="0.25"/>
  <cols>
    <col min="1" max="1" width="40.7109375" customWidth="1"/>
    <col min="2" max="3" width="20.7109375" customWidth="1"/>
    <col min="4" max="4" width="21.7109375" customWidth="1"/>
    <col min="5" max="5" width="23.4257812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32</v>
      </c>
      <c r="B4" t="s">
        <v>2</v>
      </c>
    </row>
    <row r="5" spans="1:4" x14ac:dyDescent="0.25">
      <c r="A5" s="1"/>
    </row>
    <row r="6" spans="1:4" x14ac:dyDescent="0.25">
      <c r="A6" s="1"/>
    </row>
    <row r="8" spans="1:4" ht="15.75" x14ac:dyDescent="0.25">
      <c r="A8" s="5" t="s">
        <v>42</v>
      </c>
    </row>
    <row r="9" spans="1:4" x14ac:dyDescent="0.25">
      <c r="A9" t="s">
        <v>32</v>
      </c>
      <c r="B9" t="s">
        <v>2</v>
      </c>
    </row>
    <row r="10" spans="1:4" x14ac:dyDescent="0.25">
      <c r="A10" s="1"/>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E4"/>
  <sheetViews>
    <sheetView workbookViewId="0"/>
  </sheetViews>
  <sheetFormatPr defaultRowHeight="15" x14ac:dyDescent="0.25"/>
  <cols>
    <col min="1" max="1" width="40.7109375" customWidth="1"/>
    <col min="2" max="3" width="20.7109375" customWidth="1"/>
    <col min="4" max="4" width="14.7109375" bestFit="1" customWidth="1"/>
    <col min="5" max="5" width="9.5703125" bestFit="1"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43</v>
      </c>
      <c r="D3" s="3"/>
    </row>
    <row r="4" spans="1:5" x14ac:dyDescent="0.25">
      <c r="A4" s="14" t="s">
        <v>6</v>
      </c>
      <c r="B4" s="14" t="s">
        <v>7</v>
      </c>
      <c r="C4" s="14" t="s">
        <v>8</v>
      </c>
      <c r="D4" s="14" t="s">
        <v>9</v>
      </c>
      <c r="E4" s="14" t="s">
        <v>10</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D10"/>
  <sheetViews>
    <sheetView workbookViewId="0">
      <selection activeCell="B10" sqref="B10:B11"/>
    </sheetView>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4" ht="39.950000000000003" customHeight="1" x14ac:dyDescent="0.25">
      <c r="A1" s="12"/>
      <c r="B1" s="28" t="s">
        <v>56</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20</v>
      </c>
      <c r="B4" t="s">
        <v>1</v>
      </c>
      <c r="C4" t="s">
        <v>0</v>
      </c>
      <c r="D4" t="s">
        <v>33</v>
      </c>
    </row>
    <row r="5" spans="1:4" x14ac:dyDescent="0.25">
      <c r="A5" s="1"/>
    </row>
    <row r="6" spans="1:4" x14ac:dyDescent="0.25">
      <c r="A6" s="1"/>
    </row>
    <row r="8" spans="1:4" ht="15.75" x14ac:dyDescent="0.25">
      <c r="A8" s="5" t="s">
        <v>42</v>
      </c>
    </row>
    <row r="9" spans="1:4" x14ac:dyDescent="0.25">
      <c r="A9" t="s">
        <v>20</v>
      </c>
      <c r="B9" t="s">
        <v>1</v>
      </c>
    </row>
    <row r="10" spans="1:4"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workbookViewId="0">
      <selection activeCell="B10" sqref="B10:B11"/>
    </sheetView>
  </sheetViews>
  <sheetFormatPr defaultRowHeight="15" x14ac:dyDescent="0.25"/>
  <cols>
    <col min="1" max="1" width="40.7109375" customWidth="1"/>
    <col min="2" max="3" width="20.7109375" customWidth="1"/>
    <col min="4" max="4" width="23.42578125" customWidth="1"/>
    <col min="17" max="17" width="11" customWidth="1"/>
  </cols>
  <sheetData>
    <row r="1" spans="1:4" ht="39.950000000000003" customHeight="1" x14ac:dyDescent="0.25">
      <c r="A1" s="12"/>
      <c r="B1" s="28" t="s">
        <v>57</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34</v>
      </c>
      <c r="B4" t="s">
        <v>11</v>
      </c>
    </row>
    <row r="5" spans="1:4" x14ac:dyDescent="0.25">
      <c r="A5" s="1"/>
      <c r="B5" s="1"/>
    </row>
    <row r="6" spans="1:4" x14ac:dyDescent="0.25">
      <c r="A6" s="1"/>
      <c r="B6" s="1"/>
    </row>
    <row r="8" spans="1:4" ht="15.75" x14ac:dyDescent="0.25">
      <c r="A8" s="5" t="s">
        <v>42</v>
      </c>
    </row>
    <row r="9" spans="1:4" x14ac:dyDescent="0.25">
      <c r="A9" t="s">
        <v>34</v>
      </c>
      <c r="B9" t="s">
        <v>11</v>
      </c>
    </row>
    <row r="10" spans="1:4" x14ac:dyDescent="0.25">
      <c r="A10" s="1"/>
      <c r="B10" s="1"/>
    </row>
  </sheetData>
  <mergeCells count="1">
    <mergeCell ref="B1:C1"/>
  </mergeCells>
  <dataValidations count="2">
    <dataValidation type="list" allowBlank="1" showInputMessage="1" showErrorMessage="1" sqref="B5:B6" xr:uid="{6E6F3D3A-D007-4BC5-AD78-776FBAD53719}">
      <formula1>"DefaultOn,DefaultOff,Hidden"</formula1>
    </dataValidation>
    <dataValidation type="list" allowBlank="1" showInputMessage="1" showErrorMessage="1" sqref="B10:B11" xr:uid="{31126D8F-DE64-4B44-A287-8A001B46564B}">
      <formula1>"TRUE,FALSE"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workbookViewId="0">
      <selection activeCell="A32" sqref="A32"/>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35</v>
      </c>
      <c r="B4" t="s">
        <v>2</v>
      </c>
    </row>
    <row r="5" spans="1:4" x14ac:dyDescent="0.25">
      <c r="A5" s="1"/>
    </row>
    <row r="6" spans="1:4" x14ac:dyDescent="0.25">
      <c r="A6" s="1"/>
    </row>
    <row r="7" spans="1:4" x14ac:dyDescent="0.25">
      <c r="A7" s="1"/>
    </row>
    <row r="8" spans="1:4" ht="15.75" x14ac:dyDescent="0.25">
      <c r="A8" s="5" t="s">
        <v>42</v>
      </c>
    </row>
    <row r="9" spans="1:4" x14ac:dyDescent="0.25">
      <c r="A9" t="s">
        <v>35</v>
      </c>
      <c r="B9" t="s">
        <v>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16</vt:i4>
      </vt:variant>
    </vt:vector>
  </HeadingPairs>
  <TitlesOfParts>
    <vt:vector size="33"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AppVisA1</vt:lpstr>
      <vt:lpstr>CustPermsA1</vt:lpstr>
      <vt:lpstr>DataCatA1</vt:lpstr>
      <vt:lpstr>ExtDataSrcA1</vt:lpstr>
      <vt:lpstr>FieldPermsA1</vt:lpstr>
      <vt:lpstr>LayoutAssignsA1</vt:lpstr>
      <vt:lpstr>LoginHoursA1</vt:lpstr>
      <vt:lpstr>LoginIpRangesA1</vt:lpstr>
      <vt:lpstr>ObjectPermsA1</vt:lpstr>
      <vt:lpstr>ProfActionOverridesA1</vt:lpstr>
      <vt:lpstr>ProfileNameA1</vt:lpstr>
      <vt:lpstr>RecordTypeVisA1</vt:lpstr>
      <vt:lpstr>TabVisA1</vt:lpstr>
      <vt:lpstr>UserPermsA1</vt:lpstr>
      <vt:lpstr>VfPageAccessA1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2019-01-04T00:47:00Z</dcterms:modified>
</cp:coreProperties>
</file>