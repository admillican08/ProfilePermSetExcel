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SingleCells1.xml" ContentType="application/vnd.openxmlformats-officedocument.spreadsheetml.tableSingleCell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GitRepos\ProfilePermSetImportExport\"/>
    </mc:Choice>
  </mc:AlternateContent>
  <xr:revisionPtr revIDLastSave="0" documentId="13_ncr:1_{39AD6C92-646F-4543-BB66-B1D6954AE9B0}" xr6:coauthVersionLast="36" xr6:coauthVersionMax="36" xr10:uidLastSave="{00000000-0000-0000-0000-000000000000}"/>
  <bookViews>
    <workbookView xWindow="0" yWindow="0" windowWidth="24120" windowHeight="7185" firstSheet="12" activeTab="15" xr2:uid="{42147AC9-F308-49CF-9E67-84FECD98A1F7}"/>
  </bookViews>
  <sheets>
    <sheet name="Instructions" sheetId="17" r:id="rId1"/>
    <sheet name="BasicInfo" sheetId="3" r:id="rId2"/>
    <sheet name="ApplicationVisibility" sheetId="1" r:id="rId3"/>
    <sheet name="CategoryGroupVisibilities" sheetId="12" r:id="rId4"/>
    <sheet name="ApexClassAccess" sheetId="2" r:id="rId5"/>
    <sheet name="CustomPermissions" sheetId="13" r:id="rId6"/>
    <sheet name="ExternalDataSourceAccesses" sheetId="14" r:id="rId7"/>
    <sheet name="FieldPermissions" sheetId="4" r:id="rId8"/>
    <sheet name="LayoutAssignments" sheetId="6" r:id="rId9"/>
    <sheet name="LoginHours" sheetId="15" r:id="rId10"/>
    <sheet name="LoginIpRanges" sheetId="16" r:id="rId11"/>
    <sheet name="ObjectPermissions" sheetId="5" r:id="rId12"/>
    <sheet name="VfPageAccess" sheetId="7" r:id="rId13"/>
    <sheet name="ProfileActionOverrides" sheetId="8" r:id="rId14"/>
    <sheet name="RecordTypeVisibility" sheetId="9" r:id="rId15"/>
    <sheet name="TabVisibilities" sheetId="10" r:id="rId16"/>
    <sheet name="UserPermissions" sheetId="11" r:id="rId17"/>
  </sheets>
  <definedNames>
    <definedName name="_xlnm._FilterDatabase" localSheetId="1" hidden="1">BasicInfo!$A$9:$A$24</definedName>
    <definedName name="ApexClassA1">ApexClassAccess!$A$1</definedName>
    <definedName name="AppVisA1">ApplicationVisibility!$A$1</definedName>
    <definedName name="CustPermsA1">CustomPermissions!$A$1</definedName>
    <definedName name="DataCatA1">CategoryGroupVisibilities!$A$1</definedName>
    <definedName name="ExtDataSrcA1">ExternalDataSourceAccesses!$A$1</definedName>
    <definedName name="FieldPermsA1">FieldPermissions!$A$1</definedName>
    <definedName name="LayoutAssignsA1">LayoutAssignments!$A$1</definedName>
    <definedName name="LoginHoursA1">LoginHours!$A$1</definedName>
    <definedName name="LoginIpRangesA1">LoginIpRanges!$A$1</definedName>
    <definedName name="ObjectPermsA1">ObjectPermissions!$A$1</definedName>
    <definedName name="ProfActionOverridesA1">ProfileActionOverrides!$A$1</definedName>
    <definedName name="ProfileNameA1">BasicInfo!$A$1</definedName>
    <definedName name="RecordTypeVisA1">RecordTypeVisibility!$A$1</definedName>
    <definedName name="TabVisA1">TabVisibilities!$A$1</definedName>
    <definedName name="UserPermsA1">UserPermissions!$A$1</definedName>
    <definedName name="VfPageAccessA1">VfPageAccess!$A$1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1" i="11" l="1"/>
  <c r="D1" i="10"/>
  <c r="D1" i="9"/>
  <c r="D1" i="8"/>
  <c r="D1" i="7"/>
  <c r="E1" i="5"/>
  <c r="D1" i="16"/>
  <c r="D1" i="15"/>
  <c r="D1" i="6"/>
  <c r="D1" i="4"/>
  <c r="D1" i="14"/>
  <c r="D1" i="13"/>
  <c r="D1" i="2"/>
  <c r="D1" i="12"/>
  <c r="D1" i="1"/>
  <c r="B24" i="3" l="1"/>
  <c r="B23" i="3"/>
  <c r="B22" i="3"/>
  <c r="B21" i="3"/>
  <c r="B20" i="3"/>
  <c r="B19" i="3"/>
  <c r="B18" i="3"/>
  <c r="B17" i="3"/>
  <c r="B16" i="3"/>
  <c r="B15" i="3"/>
  <c r="B14" i="3"/>
  <c r="B13" i="3"/>
  <c r="B12" i="3"/>
  <c r="B11" i="3"/>
  <c r="B10"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0" background="1">
    <webPr xml="1" sourceData="1" url="C:\Users\admil\Documents\ExcelProjectFiles\ProfilesPermsImportExport\Excel_Profiles\Admin.profile.xml" htmlTables="1" htmlFormat="all"/>
  </connection>
</connections>
</file>

<file path=xl/sharedStrings.xml><?xml version="1.0" encoding="utf-8"?>
<sst xmlns="http://schemas.openxmlformats.org/spreadsheetml/2006/main" count="148" uniqueCount="75">
  <si>
    <t>default</t>
  </si>
  <si>
    <t>visible</t>
  </si>
  <si>
    <t>enabled</t>
  </si>
  <si>
    <t>editable</t>
  </si>
  <si>
    <t>readable</t>
  </si>
  <si>
    <t>IsCustomProfile</t>
  </si>
  <si>
    <t>actionName</t>
  </si>
  <si>
    <t>content</t>
  </si>
  <si>
    <t>formFactor</t>
  </si>
  <si>
    <t>pageOrS_Object</t>
  </si>
  <si>
    <t>type</t>
  </si>
  <si>
    <t>visibility</t>
  </si>
  <si>
    <t>userLicenseType</t>
  </si>
  <si>
    <t>Description</t>
  </si>
  <si>
    <t>Field</t>
  </si>
  <si>
    <t>External Data Source</t>
  </si>
  <si>
    <t>Custom Permission</t>
  </si>
  <si>
    <t>Apex Class</t>
  </si>
  <si>
    <t>Application</t>
  </si>
  <si>
    <t>Layout</t>
  </si>
  <si>
    <t>Record Type</t>
  </si>
  <si>
    <t>weekdayStart</t>
  </si>
  <si>
    <t>weekdayEnd</t>
  </si>
  <si>
    <t>description</t>
  </si>
  <si>
    <t>startAddress</t>
  </si>
  <si>
    <t>endAddress</t>
  </si>
  <si>
    <t>allowRead</t>
  </si>
  <si>
    <t>allowCreate</t>
  </si>
  <si>
    <t>allowEdit</t>
  </si>
  <si>
    <t>allowDelete</t>
  </si>
  <si>
    <t>viewAllRecords</t>
  </si>
  <si>
    <t>modifyAllRecords</t>
  </si>
  <si>
    <t>VisualForce Page</t>
  </si>
  <si>
    <t>personAccountDefault</t>
  </si>
  <si>
    <t>Tab</t>
  </si>
  <si>
    <t>User Permission</t>
  </si>
  <si>
    <t>For Profile</t>
  </si>
  <si>
    <t>For Permission Set</t>
  </si>
  <si>
    <t>Full Name</t>
  </si>
  <si>
    <t>n/a</t>
  </si>
  <si>
    <t>Information Tabs</t>
  </si>
  <si>
    <t>For Profiles</t>
  </si>
  <si>
    <t>For Permission Sets</t>
  </si>
  <si>
    <t>For Profiles Only</t>
  </si>
  <si>
    <t>Requires Activation</t>
  </si>
  <si>
    <t>Object Name</t>
  </si>
  <si>
    <t>Applies to Both</t>
  </si>
  <si>
    <t>Profiles Only</t>
  </si>
  <si>
    <t>Currently unmapped; see note on tab sheet</t>
  </si>
  <si>
    <r>
      <t xml:space="preserve">The </t>
    </r>
    <r>
      <rPr>
        <b/>
        <sz val="11"/>
        <color theme="1"/>
        <rFont val="Palatino Linotype"/>
        <family val="1"/>
      </rPr>
      <t>categoryGroupVisibilities</t>
    </r>
    <r>
      <rPr>
        <sz val="11"/>
        <color theme="1"/>
        <rFont val="Palatino Linotype"/>
        <family val="1"/>
      </rPr>
      <t xml:space="preserve"> element and its child element, </t>
    </r>
    <r>
      <rPr>
        <b/>
        <sz val="11"/>
        <color theme="1"/>
        <rFont val="Palatino Linotype"/>
        <family val="1"/>
      </rPr>
      <t>dataCategories</t>
    </r>
    <r>
      <rPr>
        <sz val="11"/>
        <color theme="1"/>
        <rFont val="Palatino Linotype"/>
        <family val="1"/>
      </rPr>
      <t xml:space="preserve">, </t>
    </r>
    <r>
      <rPr>
        <b/>
        <sz val="11"/>
        <color theme="1"/>
        <rFont val="Palatino Linotype"/>
        <family val="1"/>
      </rPr>
      <t xml:space="preserve"> </t>
    </r>
    <r>
      <rPr>
        <sz val="11"/>
        <color theme="1"/>
        <rFont val="Palatino Linotype"/>
        <family val="1"/>
      </rPr>
      <t>are left unmapped, because dataCategories itself contains sequential, repeating child elements. While Excel can import data into an element of this type, it cannot export data from an Excel sheet with a mapped element of this type.</t>
    </r>
  </si>
  <si>
    <r>
      <rPr>
        <b/>
        <u/>
        <sz val="11"/>
        <color theme="1"/>
        <rFont val="Palatino Linotype"/>
        <family val="1"/>
      </rPr>
      <t>Note</t>
    </r>
    <r>
      <rPr>
        <sz val="11"/>
        <color theme="1"/>
        <rFont val="Palatino Linotype"/>
        <family val="1"/>
      </rPr>
      <t>: You cannot export .profile or .permissionset metadata files from a workbook that was created with this element mapped. You can remove the mapped element by deleting the cells containing the mapping.</t>
    </r>
  </si>
  <si>
    <r>
      <t xml:space="preserve"> If desired, this  element can be mapped for import  by adding the dataCategories element from the Profile_Map schema attached to the template.
To do this, use the following steps:
1. Select the </t>
    </r>
    <r>
      <rPr>
        <b/>
        <sz val="11"/>
        <color theme="1"/>
        <rFont val="Palatino Linotype"/>
        <family val="1"/>
      </rPr>
      <t>Developer</t>
    </r>
    <r>
      <rPr>
        <sz val="11"/>
        <color theme="1"/>
        <rFont val="Palatino Linotype"/>
        <family val="1"/>
      </rPr>
      <t xml:space="preserve"> tab (instructions on how to display it are on the </t>
    </r>
    <r>
      <rPr>
        <b/>
        <sz val="11"/>
        <color theme="1"/>
        <rFont val="Palatino Linotype"/>
        <family val="1"/>
      </rPr>
      <t>Instructions</t>
    </r>
    <r>
      <rPr>
        <sz val="11"/>
        <color theme="1"/>
        <rFont val="Palatino Linotype"/>
        <family val="1"/>
      </rPr>
      <t xml:space="preserve"> sheet of the main Import/Export workbook). 
2. Click the </t>
    </r>
    <r>
      <rPr>
        <b/>
        <sz val="11"/>
        <color theme="1"/>
        <rFont val="Palatino Linotype"/>
        <family val="1"/>
      </rPr>
      <t>Source</t>
    </r>
    <r>
      <rPr>
        <sz val="11"/>
        <color theme="1"/>
        <rFont val="Palatino Linotype"/>
        <family val="1"/>
      </rPr>
      <t xml:space="preserve"> icon, and select the </t>
    </r>
    <r>
      <rPr>
        <b/>
        <sz val="11"/>
        <color theme="1"/>
        <rFont val="Palatino Linotype"/>
        <family val="1"/>
      </rPr>
      <t>Profile_Map</t>
    </r>
    <r>
      <rPr>
        <sz val="11"/>
        <color theme="1"/>
        <rFont val="Palatino Linotype"/>
        <family val="1"/>
      </rPr>
      <t xml:space="preserve"> in the </t>
    </r>
    <r>
      <rPr>
        <b/>
        <sz val="11"/>
        <color theme="1"/>
        <rFont val="Palatino Linotype"/>
        <family val="1"/>
      </rPr>
      <t>XML Source</t>
    </r>
    <r>
      <rPr>
        <sz val="11"/>
        <color theme="1"/>
        <rFont val="Palatino Linotype"/>
        <family val="1"/>
      </rPr>
      <t xml:space="preserve"> pane.
3. Drag the </t>
    </r>
    <r>
      <rPr>
        <b/>
        <sz val="11"/>
        <color theme="1"/>
        <rFont val="Palatino Linotype"/>
        <family val="1"/>
      </rPr>
      <t>categoryGroupVisibilities</t>
    </r>
    <r>
      <rPr>
        <sz val="11"/>
        <color theme="1"/>
        <rFont val="Palatino Linotype"/>
        <family val="1"/>
      </rPr>
      <t xml:space="preserve">: </t>
    </r>
    <r>
      <rPr>
        <b/>
        <sz val="11"/>
        <color theme="1"/>
        <rFont val="Palatino Linotype"/>
        <family val="1"/>
      </rPr>
      <t>dataCategories</t>
    </r>
    <r>
      <rPr>
        <sz val="11"/>
        <color theme="1"/>
        <rFont val="Palatino Linotype"/>
        <family val="1"/>
      </rPr>
      <t xml:space="preserve">: </t>
    </r>
    <r>
      <rPr>
        <b/>
        <sz val="11"/>
        <color theme="1"/>
        <rFont val="Palatino Linotype"/>
        <family val="1"/>
      </rPr>
      <t>dataCategoryGroup</t>
    </r>
    <r>
      <rPr>
        <sz val="11"/>
        <color theme="1"/>
        <rFont val="Palatino Linotype"/>
        <family val="1"/>
      </rPr>
      <t xml:space="preserve"> and </t>
    </r>
    <r>
      <rPr>
        <b/>
        <sz val="11"/>
        <color theme="1"/>
        <rFont val="Palatino Linotype"/>
        <family val="1"/>
      </rPr>
      <t>categoryGroupVisibilities: dataCategorie</t>
    </r>
    <r>
      <rPr>
        <sz val="11"/>
        <color theme="1"/>
        <rFont val="Palatino Linotype"/>
        <family val="1"/>
      </rPr>
      <t xml:space="preserve">s: </t>
    </r>
    <r>
      <rPr>
        <b/>
        <sz val="11"/>
        <color theme="1"/>
        <rFont val="Palatino Linotype"/>
        <family val="1"/>
      </rPr>
      <t>visibility</t>
    </r>
    <r>
      <rPr>
        <sz val="11"/>
        <color theme="1"/>
        <rFont val="Palatino Linotype"/>
        <family val="1"/>
      </rPr>
      <t xml:space="preserve"> nodes to this worksheet.</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</si>
  <si>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visible</t>
    </r>
    <r>
      <rPr>
        <sz val="10"/>
        <color theme="1"/>
        <rFont val="Calibri"/>
        <family val="2"/>
        <scheme val="minor"/>
      </rPr>
      <t xml:space="preserve"> and </t>
    </r>
    <r>
      <rPr>
        <b/>
        <sz val="10"/>
        <color theme="1"/>
        <rFont val="Calibri"/>
        <family val="2"/>
        <scheme val="minor"/>
      </rPr>
      <t>default</t>
    </r>
    <r>
      <rPr>
        <sz val="10"/>
        <color theme="1"/>
        <rFont val="Calibri"/>
        <family val="2"/>
        <scheme val="minor"/>
      </rPr>
      <t xml:space="preserve"> columns 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</si>
  <si>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enabled</t>
    </r>
    <r>
      <rPr>
        <sz val="10"/>
        <color theme="1"/>
        <rFont val="Calibri"/>
        <family val="2"/>
        <scheme val="minor"/>
      </rPr>
      <t xml:space="preserve"> column</t>
    </r>
    <r>
      <rPr>
        <b/>
        <sz val="10"/>
        <color theme="1"/>
        <rFont val="Calibri"/>
        <family val="2"/>
        <scheme val="minor"/>
      </rPr>
      <t xml:space="preserve"> </t>
    </r>
    <r>
      <rPr>
        <sz val="10"/>
        <color theme="1"/>
        <rFont val="Calibri"/>
        <family val="2"/>
        <scheme val="minor"/>
      </rPr>
      <t>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</si>
  <si>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readable</t>
    </r>
    <r>
      <rPr>
        <sz val="10"/>
        <color theme="1"/>
        <rFont val="Calibri"/>
        <family val="2"/>
        <scheme val="minor"/>
      </rPr>
      <t xml:space="preserve"> and </t>
    </r>
    <r>
      <rPr>
        <b/>
        <sz val="10"/>
        <color theme="1"/>
        <rFont val="Calibri"/>
        <family val="2"/>
        <scheme val="minor"/>
      </rPr>
      <t>editable</t>
    </r>
    <r>
      <rPr>
        <sz val="10"/>
        <color theme="1"/>
        <rFont val="Calibri"/>
        <family val="2"/>
        <scheme val="minor"/>
      </rPr>
      <t xml:space="preserve"> columns 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</si>
  <si>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allowRead</t>
    </r>
    <r>
      <rPr>
        <sz val="10"/>
        <color theme="1"/>
        <rFont val="Calibri"/>
        <family val="2"/>
        <scheme val="minor"/>
      </rPr>
      <t xml:space="preserve">, </t>
    </r>
    <r>
      <rPr>
        <b/>
        <sz val="10"/>
        <color theme="1"/>
        <rFont val="Calibri"/>
        <family val="2"/>
        <scheme val="minor"/>
      </rPr>
      <t>allowCreate</t>
    </r>
    <r>
      <rPr>
        <sz val="10"/>
        <color theme="1"/>
        <rFont val="Calibri"/>
        <family val="2"/>
        <scheme val="minor"/>
      </rPr>
      <t xml:space="preserve">, </t>
    </r>
    <r>
      <rPr>
        <b/>
        <sz val="10"/>
        <color theme="1"/>
        <rFont val="Calibri"/>
        <family val="2"/>
        <scheme val="minor"/>
      </rPr>
      <t>allowEdit</t>
    </r>
    <r>
      <rPr>
        <sz val="10"/>
        <color theme="1"/>
        <rFont val="Calibri"/>
        <family val="2"/>
        <scheme val="minor"/>
      </rPr>
      <t xml:space="preserve">, </t>
    </r>
    <r>
      <rPr>
        <b/>
        <sz val="10"/>
        <color theme="1"/>
        <rFont val="Calibri"/>
        <family val="2"/>
        <scheme val="minor"/>
      </rPr>
      <t>allowDelete</t>
    </r>
    <r>
      <rPr>
        <sz val="10"/>
        <color theme="1"/>
        <rFont val="Calibri"/>
        <family val="2"/>
        <scheme val="minor"/>
      </rPr>
      <t xml:space="preserve">, </t>
    </r>
    <r>
      <rPr>
        <b/>
        <sz val="10"/>
        <color theme="1"/>
        <rFont val="Calibri"/>
        <family val="2"/>
        <scheme val="minor"/>
      </rPr>
      <t>viewAllRecords</t>
    </r>
    <r>
      <rPr>
        <sz val="10"/>
        <color theme="1"/>
        <rFont val="Calibri"/>
        <family val="2"/>
        <scheme val="minor"/>
      </rPr>
      <t xml:space="preserve">, and </t>
    </r>
    <r>
      <rPr>
        <b/>
        <sz val="10"/>
        <color theme="1"/>
        <rFont val="Calibri"/>
        <family val="2"/>
        <scheme val="minor"/>
      </rPr>
      <t>modifyAllRecords</t>
    </r>
    <r>
      <rPr>
        <sz val="10"/>
        <color theme="1"/>
        <rFont val="Calibri"/>
        <family val="2"/>
        <scheme val="minor"/>
      </rPr>
      <t xml:space="preserve"> columns</t>
    </r>
    <r>
      <rPr>
        <b/>
        <sz val="10"/>
        <color theme="1"/>
        <rFont val="Calibri"/>
        <family val="2"/>
        <scheme val="minor"/>
      </rPr>
      <t xml:space="preserve"> </t>
    </r>
    <r>
      <rPr>
        <sz val="10"/>
        <color theme="1"/>
        <rFont val="Calibri"/>
        <family val="2"/>
        <scheme val="minor"/>
      </rPr>
      <t>are "TRUE" and "FALSE"</t>
    </r>
  </si>
  <si>
    <r>
      <rPr>
        <b/>
        <u/>
        <sz val="10"/>
        <color theme="1"/>
        <rFont val="Calibri"/>
        <family val="2"/>
        <scheme val="minor"/>
      </rPr>
      <t>Note</t>
    </r>
    <r>
      <rPr>
        <sz val="10"/>
        <color theme="1"/>
        <rFont val="Calibri"/>
        <family val="2"/>
        <scheme val="minor"/>
      </rPr>
      <t xml:space="preserve">: The only valid values for the </t>
    </r>
    <r>
      <rPr>
        <b/>
        <sz val="10"/>
        <color theme="1"/>
        <rFont val="Calibri"/>
        <family val="2"/>
        <scheme val="minor"/>
      </rPr>
      <t>visible</t>
    </r>
    <r>
      <rPr>
        <sz val="10"/>
        <color theme="1"/>
        <rFont val="Calibri"/>
        <family val="2"/>
        <scheme val="minor"/>
      </rPr>
      <t xml:space="preserve">, </t>
    </r>
    <r>
      <rPr>
        <b/>
        <sz val="10"/>
        <color theme="1"/>
        <rFont val="Calibri"/>
        <family val="2"/>
        <scheme val="minor"/>
      </rPr>
      <t>default</t>
    </r>
    <r>
      <rPr>
        <sz val="10"/>
        <color theme="1"/>
        <rFont val="Calibri"/>
        <family val="2"/>
        <scheme val="minor"/>
      </rPr>
      <t xml:space="preserve">, and </t>
    </r>
    <r>
      <rPr>
        <b/>
        <sz val="10"/>
        <color theme="1"/>
        <rFont val="Calibri"/>
        <family val="2"/>
        <scheme val="minor"/>
      </rPr>
      <t xml:space="preserve">personAccountDefault </t>
    </r>
    <r>
      <rPr>
        <sz val="10"/>
        <color theme="1"/>
        <rFont val="Calibri"/>
        <family val="2"/>
        <scheme val="minor"/>
      </rPr>
      <t>columns</t>
    </r>
    <r>
      <rPr>
        <b/>
        <sz val="10"/>
        <color theme="1"/>
        <rFont val="Calibri"/>
        <family val="2"/>
        <scheme val="minor"/>
      </rPr>
      <t xml:space="preserve"> </t>
    </r>
    <r>
      <rPr>
        <sz val="10"/>
        <color theme="1"/>
        <rFont val="Calibri"/>
        <family val="2"/>
        <scheme val="minor"/>
      </rPr>
      <t>are "TRUE" and "FALSE"</t>
    </r>
  </si>
  <si>
    <r>
      <t xml:space="preserve">Use the </t>
    </r>
    <r>
      <rPr>
        <b/>
        <sz val="12"/>
        <color theme="1"/>
        <rFont val="Palatino Linotype"/>
        <family val="1"/>
      </rPr>
      <t>ProfilePermSetImportExport.xlsm</t>
    </r>
    <r>
      <rPr>
        <sz val="12"/>
        <color theme="1"/>
        <rFont val="Palatino Linotype"/>
        <family val="1"/>
      </rPr>
      <t xml:space="preserve"> Macro-Enabled Microsoft Excel workbook to work with Salesforce Profiles and Permission Sets. Import Salesforce .profile and .permission set metadata files into Excel sheets for easy, more human-friendly viewing, filtering, and comparison than the Salesforce UI provides. You can even change your profiles and permission sets in Excel and export them back into usable metadata files that you can then deploy back into your Salesforce org!</t>
    </r>
  </si>
  <si>
    <t>Required Versions of Applications</t>
  </si>
  <si>
    <t>Salesforce Metadata API Version 23 or later, Microsoft Excel version 2007 or later (any version using .xlsx)</t>
  </si>
  <si>
    <t>What You Need Before You Use This</t>
  </si>
  <si>
    <r>
      <t>This template works with profile and permission set metadata component files that have been previously exported from Salesforce using tools such as the Ant Migration Tool .jar, the Eclipse Force.com IDE plugin, or the Visual Studio Code Salesforce extension pack. The file extensions of these text files should be .</t>
    </r>
    <r>
      <rPr>
        <b/>
        <sz val="11"/>
        <color theme="1"/>
        <rFont val="Palatino Linotype"/>
        <family val="1"/>
      </rPr>
      <t>profile</t>
    </r>
    <r>
      <rPr>
        <sz val="11"/>
        <color theme="1"/>
        <rFont val="Palatino Linotype"/>
        <family val="1"/>
      </rPr>
      <t xml:space="preserve">, </t>
    </r>
    <r>
      <rPr>
        <b/>
        <sz val="11"/>
        <color theme="1"/>
        <rFont val="Palatino Linotype"/>
        <family val="1"/>
      </rPr>
      <t>.permissionset</t>
    </r>
    <r>
      <rPr>
        <sz val="11"/>
        <color theme="1"/>
        <rFont val="Palatino Linotype"/>
        <family val="1"/>
      </rPr>
      <t xml:space="preserve">, </t>
    </r>
    <r>
      <rPr>
        <b/>
        <sz val="11"/>
        <color theme="1"/>
        <rFont val="Palatino Linotype"/>
        <family val="1"/>
      </rPr>
      <t>.profile--meta.xml</t>
    </r>
    <r>
      <rPr>
        <sz val="11"/>
        <color theme="1"/>
        <rFont val="Palatino Linotype"/>
        <family val="1"/>
      </rPr>
      <t>, or .</t>
    </r>
    <r>
      <rPr>
        <b/>
        <sz val="11"/>
        <color theme="1"/>
        <rFont val="Palatino Linotype"/>
        <family val="1"/>
      </rPr>
      <t>permissionset-meta.xml</t>
    </r>
    <r>
      <rPr>
        <sz val="11"/>
        <color theme="1"/>
        <rFont val="Palatino Linotype"/>
        <family val="1"/>
      </rPr>
      <t xml:space="preserve">.
Please note this Excel workbook </t>
    </r>
    <r>
      <rPr>
        <u/>
        <sz val="11"/>
        <color theme="1"/>
        <rFont val="Palatino Linotype"/>
        <family val="1"/>
      </rPr>
      <t>does not connect directly with Salesforce in any way</t>
    </r>
    <r>
      <rPr>
        <sz val="11"/>
        <color theme="1"/>
        <rFont val="Palatino Linotype"/>
        <family val="1"/>
      </rPr>
      <t>. You must have already retrieved the profile or permission set files from Salesforce prior to using this macro-enabled workbook.</t>
    </r>
  </si>
  <si>
    <t>Required Files to Run:</t>
  </si>
  <si>
    <r>
      <t xml:space="preserve">This </t>
    </r>
    <r>
      <rPr>
        <b/>
        <sz val="11"/>
        <color theme="1"/>
        <rFont val="Palatino Linotype"/>
        <family val="1"/>
      </rPr>
      <t>workbook</t>
    </r>
    <r>
      <rPr>
        <sz val="11"/>
        <color theme="1"/>
        <rFont val="Palatino Linotype"/>
        <family val="1"/>
      </rPr>
      <t xml:space="preserve">, </t>
    </r>
    <r>
      <rPr>
        <b/>
        <sz val="11"/>
        <color theme="1"/>
        <rFont val="Palatino Linotype"/>
        <family val="1"/>
      </rPr>
      <t>Profiles.xsd</t>
    </r>
    <r>
      <rPr>
        <sz val="11"/>
        <color theme="1"/>
        <rFont val="Palatino Linotype"/>
        <family val="1"/>
      </rPr>
      <t xml:space="preserve"> (the Salesforce Profile Schema file),</t>
    </r>
    <r>
      <rPr>
        <b/>
        <sz val="11"/>
        <color theme="1"/>
        <rFont val="Palatino Linotype"/>
        <family val="1"/>
      </rPr>
      <t xml:space="preserve"> PermissionSet.xsd</t>
    </r>
    <r>
      <rPr>
        <sz val="11"/>
        <color theme="1"/>
        <rFont val="Palatino Linotype"/>
        <family val="1"/>
      </rPr>
      <t xml:space="preserve"> (the Salesforce Permission Set Schema file)</t>
    </r>
  </si>
  <si>
    <t xml:space="preserve">Setup: </t>
  </si>
  <si>
    <t>Place the template file in a directory/folder that is a parent to your profiles and/or permission sets folder. Create your xsd schema folder as a child of the same folder. Please note that names are case sensitive. Your setup should mirror that shown in the following image:</t>
  </si>
  <si>
    <r>
      <rPr>
        <b/>
        <sz val="12"/>
        <color theme="1"/>
        <rFont val="Calibri"/>
        <family val="2"/>
        <scheme val="minor"/>
      </rPr>
      <t>To Show the Macro Selection Form</t>
    </r>
    <r>
      <rPr>
        <sz val="12"/>
        <color theme="1"/>
        <rFont val="Calibri"/>
        <family val="2"/>
        <scheme val="minor"/>
      </rPr>
      <t xml:space="preserve">: </t>
    </r>
  </si>
  <si>
    <r>
      <t xml:space="preserve">Press </t>
    </r>
    <r>
      <rPr>
        <b/>
        <sz val="11"/>
        <color theme="1"/>
        <rFont val="Palatino Linotype"/>
        <family val="1"/>
      </rPr>
      <t xml:space="preserve">Ctrl </t>
    </r>
    <r>
      <rPr>
        <sz val="11"/>
        <color theme="1"/>
        <rFont val="Palatino Linotype"/>
        <family val="1"/>
      </rPr>
      <t xml:space="preserve">+ </t>
    </r>
    <r>
      <rPr>
        <b/>
        <sz val="11"/>
        <color theme="1"/>
        <rFont val="Palatino Linotype"/>
        <family val="1"/>
      </rPr>
      <t>Shift</t>
    </r>
    <r>
      <rPr>
        <sz val="11"/>
        <color theme="1"/>
        <rFont val="Palatino Linotype"/>
        <family val="1"/>
      </rPr>
      <t xml:space="preserve"> +</t>
    </r>
    <r>
      <rPr>
        <b/>
        <sz val="11"/>
        <color theme="1"/>
        <rFont val="Palatino Linotype"/>
        <family val="1"/>
      </rPr>
      <t xml:space="preserve"> U. </t>
    </r>
    <r>
      <rPr>
        <sz val="11"/>
        <color theme="1"/>
        <rFont val="Palatino Linotype"/>
        <family val="1"/>
      </rPr>
      <t xml:space="preserve">If, for some reason, that fails to work, display the </t>
    </r>
    <r>
      <rPr>
        <b/>
        <sz val="11"/>
        <color theme="1"/>
        <rFont val="Palatino Linotype"/>
        <family val="1"/>
      </rPr>
      <t>Developer</t>
    </r>
    <r>
      <rPr>
        <sz val="11"/>
        <color theme="1"/>
        <rFont val="Palatino Linotype"/>
        <family val="1"/>
      </rPr>
      <t xml:space="preserve"> tab in Excel if it is not already displayed, select Macros, and run the </t>
    </r>
    <r>
      <rPr>
        <b/>
        <sz val="11"/>
        <color theme="1"/>
        <rFont val="Palatino Linotype"/>
        <family val="1"/>
      </rPr>
      <t>DisplaySfdcUserForm</t>
    </r>
    <r>
      <rPr>
        <sz val="11"/>
        <color theme="1"/>
        <rFont val="Palatino Linotype"/>
        <family val="1"/>
      </rPr>
      <t xml:space="preserve"> macro. You can also use the Macros dialog to assign a different keystroke to run the </t>
    </r>
    <r>
      <rPr>
        <b/>
        <sz val="11"/>
        <color theme="1"/>
        <rFont val="Palatino Linotype"/>
        <family val="1"/>
      </rPr>
      <t>DisplaySfdcUserForm</t>
    </r>
    <r>
      <rPr>
        <sz val="11"/>
        <color theme="1"/>
        <rFont val="Palatino Linotype"/>
        <family val="1"/>
      </rPr>
      <t xml:space="preserve"> macro if you wish.</t>
    </r>
  </si>
  <si>
    <t>Macro Security Issues:</t>
  </si>
  <si>
    <r>
      <t xml:space="preserve">Depending on your Excel and PC security settings, you may have to click a button to allow the macros in this template to run. If your security settings are strict enough, you may not be able to run macros from an outside party at all. You may be able to change them by displaying the Excel </t>
    </r>
    <r>
      <rPr>
        <b/>
        <sz val="11"/>
        <color theme="1"/>
        <rFont val="Palatino Linotype"/>
        <family val="1"/>
      </rPr>
      <t>Developer</t>
    </r>
    <r>
      <rPr>
        <sz val="11"/>
        <color theme="1"/>
        <rFont val="Palatino Linotype"/>
        <family val="1"/>
      </rPr>
      <t xml:space="preserve"> tab if it is not already visible, then selecting </t>
    </r>
    <r>
      <rPr>
        <b/>
        <sz val="11"/>
        <color theme="1"/>
        <rFont val="Palatino Linotype"/>
        <family val="1"/>
      </rPr>
      <t>Macro Security</t>
    </r>
    <r>
      <rPr>
        <sz val="11"/>
        <color theme="1"/>
        <rFont val="Palatino Linotype"/>
        <family val="1"/>
      </rPr>
      <t>, and changing the macro settings to "Disable all macros with notification", which still typically gives the option to enable macros by clicking a button.</t>
    </r>
  </si>
  <si>
    <t>Re-creating the Template</t>
  </si>
  <si>
    <t>If you are unable to run macros from this template because it originates from an outside source, then you should be able to re-create your own version of this template on your own PC in Excel using the three exported VBA text files included with this project:
* ChooseSfdcMacroForm.frm
* ChooseSfdcMacroForm.frx
* ImportExportSfdcMetadata.bas</t>
  </si>
  <si>
    <r>
      <t xml:space="preserve">1. Open a new, empty workbook in Excel.
2. From the Excel </t>
    </r>
    <r>
      <rPr>
        <b/>
        <sz val="11"/>
        <color theme="1"/>
        <rFont val="Palatino Linotype"/>
        <family val="1"/>
      </rPr>
      <t>Developer</t>
    </r>
    <r>
      <rPr>
        <sz val="11"/>
        <color theme="1"/>
        <rFont val="Palatino Linotype"/>
        <family val="1"/>
      </rPr>
      <t xml:space="preserve"> tab, select the </t>
    </r>
    <r>
      <rPr>
        <b/>
        <sz val="11"/>
        <color theme="1"/>
        <rFont val="Palatino Linotype"/>
        <family val="1"/>
      </rPr>
      <t>Visual Basic</t>
    </r>
    <r>
      <rPr>
        <sz val="11"/>
        <color theme="1"/>
        <rFont val="Palatino Linotype"/>
        <family val="1"/>
      </rPr>
      <t xml:space="preserve"> icon to open the VBA Editor.
3. Select the new Excel workbook's name--typically it will be VBAProject(Book#) in the Project editor window, right click and select </t>
    </r>
    <r>
      <rPr>
        <b/>
        <sz val="11"/>
        <color theme="1"/>
        <rFont val="Palatino Linotype"/>
        <family val="1"/>
      </rPr>
      <t>Import File</t>
    </r>
    <r>
      <rPr>
        <sz val="11"/>
        <color theme="1"/>
        <rFont val="Palatino Linotype"/>
        <family val="1"/>
      </rPr>
      <t xml:space="preserve">.
4. Select the .bas file. Repeat and this time import the .frm file. 
5. Select </t>
    </r>
    <r>
      <rPr>
        <b/>
        <sz val="11"/>
        <color theme="1"/>
        <rFont val="Palatino Linotype"/>
        <family val="1"/>
      </rPr>
      <t>Tools &gt; References</t>
    </r>
    <r>
      <rPr>
        <sz val="11"/>
        <color theme="1"/>
        <rFont val="Palatino Linotype"/>
        <family val="1"/>
      </rPr>
      <t xml:space="preserve">, and find and check </t>
    </r>
    <r>
      <rPr>
        <b/>
        <sz val="11"/>
        <color theme="1"/>
        <rFont val="Palatino Linotype"/>
        <family val="1"/>
      </rPr>
      <t>Microsoft Scripting Runtime</t>
    </r>
    <r>
      <rPr>
        <sz val="11"/>
        <color theme="1"/>
        <rFont val="Palatino Linotype"/>
        <family val="1"/>
      </rPr>
      <t xml:space="preserve"> (leave other checked checkboxes as-is).
6. Select </t>
    </r>
    <r>
      <rPr>
        <b/>
        <sz val="11"/>
        <color theme="1"/>
        <rFont val="Palatino Linotype"/>
        <family val="1"/>
      </rPr>
      <t xml:space="preserve">File &gt; Close and Return to Microsoft Excel
</t>
    </r>
    <r>
      <rPr>
        <sz val="11"/>
        <color theme="1"/>
        <rFont val="Palatino Linotype"/>
        <family val="1"/>
      </rPr>
      <t>7. Save the open Excel workbook as either a macro-enabled workbook (*.xlsm) or a macro-enabled template (.xlst).</t>
    </r>
  </si>
  <si>
    <t>Developed by Adrienne D. Millican for free use</t>
  </si>
  <si>
    <r>
      <rPr>
        <b/>
        <u/>
        <sz val="10"/>
        <color theme="1"/>
        <rFont val="Calibri"/>
        <family val="2"/>
        <scheme val="minor"/>
      </rPr>
      <t>Note</t>
    </r>
    <r>
      <rPr>
        <sz val="10"/>
        <color theme="1"/>
        <rFont val="Calibri"/>
        <family val="2"/>
        <scheme val="minor"/>
      </rPr>
      <t xml:space="preserve">: For profiles, the only valid values for the </t>
    </r>
    <r>
      <rPr>
        <b/>
        <sz val="10"/>
        <color theme="1"/>
        <rFont val="Calibri"/>
        <family val="2"/>
        <scheme val="minor"/>
      </rPr>
      <t xml:space="preserve">visibility </t>
    </r>
    <r>
      <rPr>
        <sz val="10"/>
        <color theme="1"/>
        <rFont val="Calibri"/>
        <family val="2"/>
        <scheme val="minor"/>
      </rPr>
      <t>column</t>
    </r>
    <r>
      <rPr>
        <b/>
        <sz val="10"/>
        <color theme="1"/>
        <rFont val="Calibri"/>
        <family val="2"/>
        <scheme val="minor"/>
      </rPr>
      <t xml:space="preserve"> </t>
    </r>
    <r>
      <rPr>
        <sz val="10"/>
        <color theme="1"/>
        <rFont val="Calibri"/>
        <family val="2"/>
        <scheme val="minor"/>
      </rPr>
      <t>are "DefaultOn", "DefaultOff", and "Hidden"; for permission sets, the only valid values are "Available" and "Visible".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</si>
</sst>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b/>
      <sz val="14"/>
      <color theme="1"/>
      <name val="Calibri"/>
      <family val="2"/>
      <scheme val="minor"/>
    </font>
    <font>
      <b/>
      <sz val="12"/>
      <color theme="1"/>
      <name val="Calibri"/>
      <family val="2"/>
      <scheme val="minor"/>
    </font>
    <font>
      <sz val="11"/>
      <color rgb="FF000000"/>
      <name val="Calibri"/>
      <family val="2"/>
    </font>
    <font>
      <b/>
      <sz val="11"/>
      <color theme="1"/>
      <name val="Palatino Linotype"/>
      <family val="1"/>
    </font>
    <font>
      <sz val="11"/>
      <color theme="1"/>
      <name val="Palatino Linotype"/>
      <family val="1"/>
    </font>
    <font>
      <b/>
      <u/>
      <sz val="11"/>
      <color theme="1"/>
      <name val="Palatino Linotype"/>
      <family val="1"/>
    </font>
    <font>
      <b/>
      <sz val="11"/>
      <color theme="0"/>
      <name val="Calibri"/>
      <family val="2"/>
      <scheme val="minor"/>
    </font>
    <font>
      <sz val="12"/>
      <color theme="1"/>
      <name val="Calibri"/>
      <family val="2"/>
      <scheme val="minor"/>
    </font>
    <font>
      <sz val="10"/>
      <color theme="1"/>
      <name val="Calibri"/>
      <family val="2"/>
      <scheme val="minor"/>
    </font>
    <font>
      <b/>
      <u/>
      <sz val="10"/>
      <color theme="1"/>
      <name val="Calibri"/>
      <family val="2"/>
      <scheme val="minor"/>
    </font>
    <font>
      <b/>
      <sz val="10"/>
      <color theme="1"/>
      <name val="Calibri"/>
      <family val="2"/>
      <scheme val="minor"/>
    </font>
    <font>
      <sz val="12"/>
      <color theme="1"/>
      <name val="Palatino Linotype"/>
      <family val="1"/>
    </font>
    <font>
      <b/>
      <sz val="12"/>
      <color theme="1"/>
      <name val="Palatino Linotype"/>
      <family val="1"/>
    </font>
    <font>
      <b/>
      <sz val="12"/>
      <color theme="1"/>
      <name val="Calibri"/>
      <family val="2"/>
    </font>
    <font>
      <u/>
      <sz val="11"/>
      <color theme="1"/>
      <name val="Palatino Linotype"/>
      <family val="1"/>
    </font>
  </fonts>
  <fills count="3">
    <fill>
      <patternFill patternType="none"/>
    </fill>
    <fill>
      <patternFill patternType="gray125"/>
    </fill>
    <fill>
      <patternFill patternType="solid">
        <fgColor theme="4"/>
        <bgColor indexed="64"/>
      </patternFill>
    </fill>
  </fills>
  <borders count="2">
    <border>
      <left/>
      <right/>
      <top/>
      <bottom/>
      <diagonal/>
    </border>
    <border>
      <left/>
      <right/>
      <top style="thick">
        <color indexed="64"/>
      </top>
      <bottom/>
      <diagonal/>
    </border>
  </borders>
  <cellStyleXfs count="2">
    <xf numFmtId="0" fontId="0" fillId="0" borderId="0"/>
    <xf numFmtId="0" fontId="2" fillId="0" borderId="0" applyNumberFormat="0" applyFill="0" applyBorder="0" applyAlignment="0" applyProtection="0"/>
  </cellStyleXfs>
  <cellXfs count="31">
    <xf numFmtId="0" fontId="0" fillId="0" borderId="0" xfId="0"/>
    <xf numFmtId="49" fontId="0" fillId="0" borderId="0" xfId="0" applyNumberFormat="1"/>
    <xf numFmtId="0" fontId="1" fillId="0" borderId="0" xfId="0" applyFont="1"/>
    <xf numFmtId="0" fontId="2" fillId="0" borderId="0" xfId="1"/>
    <xf numFmtId="0" fontId="3" fillId="0" borderId="0" xfId="0" applyFont="1"/>
    <xf numFmtId="0" fontId="4" fillId="0" borderId="0" xfId="0" applyFont="1"/>
    <xf numFmtId="0" fontId="0" fillId="0" borderId="0" xfId="0" applyFont="1"/>
    <xf numFmtId="0" fontId="4" fillId="0" borderId="1" xfId="0" applyFont="1" applyBorder="1"/>
    <xf numFmtId="49" fontId="0" fillId="0" borderId="1" xfId="0" applyNumberFormat="1" applyBorder="1"/>
    <xf numFmtId="0" fontId="0" fillId="0" borderId="1" xfId="0" applyBorder="1"/>
    <xf numFmtId="0" fontId="0" fillId="0" borderId="0" xfId="0" applyAlignment="1">
      <alignment vertical="center"/>
    </xf>
    <xf numFmtId="0" fontId="3" fillId="0" borderId="0" xfId="0" applyFont="1" applyAlignment="1">
      <alignment horizontal="center"/>
    </xf>
    <xf numFmtId="0" fontId="10" fillId="0" borderId="0" xfId="0" applyFont="1" applyAlignment="1">
      <alignment vertical="center" shrinkToFit="1"/>
    </xf>
    <xf numFmtId="0" fontId="3" fillId="0" borderId="0" xfId="0" applyFont="1" applyAlignment="1">
      <alignment vertical="center" wrapText="1"/>
    </xf>
    <xf numFmtId="0" fontId="9" fillId="2" borderId="0" xfId="0" applyFont="1" applyFill="1"/>
    <xf numFmtId="0" fontId="2" fillId="0" borderId="0" xfId="1" applyAlignment="1">
      <alignment horizontal="center"/>
    </xf>
    <xf numFmtId="0" fontId="7" fillId="0" borderId="0" xfId="0" applyFont="1" applyAlignment="1">
      <alignment vertical="center" wrapText="1"/>
    </xf>
    <xf numFmtId="0" fontId="7" fillId="0" borderId="0" xfId="0" applyFont="1" applyAlignment="1">
      <alignment vertical="center"/>
    </xf>
    <xf numFmtId="0" fontId="16" fillId="0" borderId="0" xfId="0" applyFont="1" applyAlignment="1">
      <alignment horizontal="right" vertical="center"/>
    </xf>
    <xf numFmtId="0" fontId="10" fillId="0" borderId="0" xfId="0" applyFont="1" applyAlignment="1">
      <alignment horizontal="right" vertical="center"/>
    </xf>
    <xf numFmtId="0" fontId="4" fillId="0" borderId="0" xfId="0" applyFont="1" applyAlignment="1">
      <alignment horizontal="right" vertical="center"/>
    </xf>
    <xf numFmtId="0" fontId="4" fillId="0" borderId="0" xfId="0" applyFont="1" applyAlignment="1">
      <alignment horizontal="right" vertical="center" wrapText="1"/>
    </xf>
    <xf numFmtId="49" fontId="0" fillId="0" borderId="0" xfId="0" applyNumberFormat="1" applyAlignment="1">
      <alignment wrapText="1"/>
    </xf>
    <xf numFmtId="49" fontId="1" fillId="0" borderId="0" xfId="0" applyNumberFormat="1" applyFont="1" applyAlignment="1">
      <alignment wrapText="1"/>
    </xf>
    <xf numFmtId="0" fontId="7" fillId="0" borderId="0" xfId="0" applyFont="1" applyAlignment="1">
      <alignment vertical="center" wrapText="1"/>
    </xf>
    <xf numFmtId="0" fontId="0" fillId="0" borderId="0" xfId="0" applyAlignment="1">
      <alignment vertical="center" wrapText="1"/>
    </xf>
    <xf numFmtId="0" fontId="14" fillId="0" borderId="0" xfId="0" applyFont="1" applyAlignment="1">
      <alignment vertical="center" wrapText="1"/>
    </xf>
    <xf numFmtId="0" fontId="14" fillId="0" borderId="0" xfId="0" applyFont="1" applyAlignment="1">
      <alignment vertical="center"/>
    </xf>
    <xf numFmtId="0" fontId="11" fillId="0" borderId="0" xfId="0" applyFont="1" applyAlignment="1">
      <alignment wrapText="1"/>
    </xf>
    <xf numFmtId="0" fontId="7" fillId="0" borderId="0" xfId="0" applyFont="1" applyAlignment="1">
      <alignment vertical="center"/>
    </xf>
    <xf numFmtId="0" fontId="11" fillId="0" borderId="0" xfId="0" applyFont="1" applyAlignment="1">
      <alignment horizontal="left" wrapText="1" shrinkToFit="1"/>
    </xf>
  </cellXfs>
  <cellStyles count="2">
    <cellStyle name="Hyperlink" xfId="1" builtinId="8"/>
    <cellStyle name="Normal" xfId="0" builtinId="0"/>
  </cellStyles>
  <dxfs count="7">
    <dxf>
      <numFmt numFmtId="30" formatCode="@"/>
    </dxf>
    <dxf>
      <numFmt numFmtId="30" formatCode="@"/>
    </dxf>
    <dxf>
      <numFmt numFmtId="30" formatCode="@"/>
    </dxf>
    <dxf>
      <numFmt numFmtId="30" formatCode="@"/>
    </dxf>
    <dxf>
      <numFmt numFmtId="30" formatCode="@"/>
    </dxf>
    <dxf>
      <numFmt numFmtId="30" formatCode="@"/>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schema xmlns:xs="http://www.w3.org/2001/XMLSchema" xmlns="">
      <xs:element name="Profile">
        <xs:complexType>
          <xs:sequence>
            <xs:element name="applicationVisibilities" minOccurs="0" maxOccurs="unbounded">
              <xs:complexType>
                <xs:sequence>
                  <xs:element type="xs:string" name="application"/>
                  <xs:element type="xs:boolean" name="default"/>
                  <xs:element type="xs:boolean" name="visible"/>
                </xs:sequence>
              </xs:complexType>
            </xs:element>
            <xs:element name="categoryGroupVisibilities" minOccurs="0" maxOccurs="unbounded">
              <xs:complexType>
                <xs:sequence>
                  <xs:element name="dataCategories" minOccurs="0" maxOccurs="unbounded">
                    <xs:complexType>
                      <xs:sequence>
                        <xs:element type="xs:string" name="dataCategoryGroup"/>
                        <xs:element type="xs:string" name="visibility"/>
                      </xs:sequence>
                    </xs:complexType>
                  </xs:element>
                </xs:sequence>
              </xs:complexType>
            </xs:element>
            <xs:element name="classAccesses" minOccurs="0" maxOccurs="unbounded">
              <xs:complexType>
                <xs:sequence>
                  <xs:element type="xs:string" name="apexClass"/>
                  <xs:element type="xs:boolean" name="enabled"/>
                </xs:sequence>
              </xs:complexType>
            </xs:element>
            <xs:element type="xs:boolean" name="custom" minOccurs="0"/>
            <xs:element name="customPermissions" minOccurs="0" maxOccurs="unbounded">
              <xs:complexType>
                <xs:sequence>
                  <xs:element type="xs:boolean" name="enabled"/>
                  <xs:element type="xs:string" name="name"/>
                </xs:sequence>
              </xs:complexType>
            </xs:element>
            <xs:element type="xs:string" name="description" minOccurs="0"/>
            <xs:element name="externalDataSourceAccesses" minOccurs="0" maxOccurs="unbounded">
              <xs:complexType>
                <xs:sequence>
                  <xs:element type="xs:boolean" name="enabled"/>
                  <xs:element type="xs:string" name="externalDataSource" minOccurs="0"/>
                </xs:sequence>
              </xs:complexType>
            </xs:element>
            <xs:element name="fieldPermissions" minOccurs="0" maxOccurs="unbounded">
              <xs:complexType>
                <xs:sequence>
                  <xs:element type="xs:boolean" name="editable"/>
                  <xs:element type="xs:string" name="field"/>
                  <xs:element type="xs:boolean" name="readable"/>
                </xs:sequence>
              </xs:complexType>
            </xs:element>
            <xs:element type="xs:string" name="fullName" minOccurs="0"/>
            <xs:element name="layoutAssignments" minOccurs="0" maxOccurs="unbounded">
              <xs:complexType>
                <xs:sequence>
                  <xs:element type="xs:string" name="layout"/>
                  <xs:element type="xs:string" name="recordType" minOccurs="0"/>
                </xs:sequence>
              </xs:complexType>
            </xs:element>
            <xs:element name="loginHours" minOccurs="0" maxOccurs="unbounded">
              <xs:complexType>
                <xs:sequence>
                  <xs:element type="xs:string" name="weekdayStart"/>
                  <xs:element type="xs:string" name="weekdayEnd"/>
                </xs:sequence>
              </xs:complexType>
            </xs:element>
            <xs:element name="loginIpRanges" minOccurs="0" maxOccurs="unbounded">
              <xs:complexType>
                <xs:sequence>
                  <xs:element type="xs:string" name="description"/>
                  <xs:element type="xs:string" name="endAddress"/>
                  <xs:element type="xs:string" name="startAddress"/>
                </xs:sequence>
              </xs:complexType>
            </xs:element>
            <xs:element name="objectPermissions" minOccurs="0" maxOccurs="unbounded">
              <xs:complexType>
                <xs:sequence>
                  <xs:element type="xs:boolean" name="allowCreate"/>
                  <xs:element type="xs:boolean" name="allowDelete"/>
                  <xs:element type="xs:boolean" name="allowEdit"/>
                  <xs:element type="xs:boolean" name="allowRead"/>
                  <xs:element type="xs:boolean" name="modifyAllRecords"/>
                  <xs:element type="xs:string" name="object"/>
                  <xs:element type="xs:boolean" name="viewAllRecords"/>
                </xs:sequence>
              </xs:complexType>
            </xs:element>
            <xs:element name="pageAccesses" minOccurs="0" maxOccurs="unbounded">
              <xs:complexType>
                <xs:sequence>
                  <xs:element type="xs:string" name="apexPage"/>
                  <xs:element type="xs:boolean" name="enabled"/>
                </xs:sequence>
              </xs:complexType>
            </xs:element>
            <xs:element name="profileActionOverrides" minOccurs="0" maxOccurs="1">
              <xs:complexType>
                <xs:sequence>
                  <xs:element type="xs:string" name="actionName"/>
                  <xs:element type="xs:string" name="content" minOccurs="0"/>
                  <xs:element type="xs:string" name="formFactor"/>
                  <xs:element type="xs:string" name="pageOrSobjectType"/>
                  <xs:element type="xs:string" name="type"/>
                </xs:sequence>
              </xs:complexType>
            </xs:element>
            <xs:element name="recordTypeVisibilities" minOccurs="0" maxOccurs="unbounded">
              <xs:complexType>
                <xs:sequence>
                  <xs:element type="xs:boolean" name="default"/>
                  <xs:element type="xs:boolean" name="personAccountDefault" minOccurs="0"/>
                  <xs:element type="xs:string" name="recordType"/>
                  <xs:element type="xs:boolean" name="visible"/>
                </xs:sequence>
              </xs:complexType>
            </xs:element>
            <xs:element name="tabVisibilities" minOccurs="0" maxOccurs="unbounded">
              <xs:complexType>
                <xs:sequence>
                  <xs:element type="xs:string" name="tab"/>
                  <xs:element type="xs:string" name="visibility"/>
                </xs:sequence>
              </xs:complexType>
            </xs:element>
            <xs:element type="xs:string" name="userLicense"/>
            <xs:element name="userPermissions" minOccurs="0" maxOccurs="unbounded">
              <xs:complexType>
                <xs:sequence>
                  <xs:element type="xs:boolean" name="enabled"/>
                  <xs:element type="xs:string" name="name"/>
                </xs:sequence>
              </xs:complexType>
            </xs:element>
          </xs:sequence>
        </xs:complexType>
      </xs:element>
    </xs:schema>
  </Schema>
  <Schema ID="Schema3">
    <xs:schema xmlns:xs="http://www.w3.org/2001/XMLSchema" xmlns="">
      <xs:element name="PermissionSet">
        <xs:complexType>
          <xs:sequence>
            <xs:element name="applicationVisibilities" minOccurs="0" maxOccurs="unbounded">
              <xs:complexType>
                <xs:sequence>
                  <xs:element type="xs:string" name="application"/>
                  <xs:element type="xs:boolean" name="visible"/>
                </xs:sequence>
              </xs:complexType>
            </xs:element>
            <xs:element name="classAccesses" minOccurs="0" maxOccurs="unbounded">
              <xs:complexType>
                <xs:sequence>
                  <xs:element type="xs:string" name="apexClass"/>
                  <xs:element type="xs:boolean" name="enabled"/>
                </xs:sequence>
              </xs:complexType>
            </xs:element>
            <xs:element name="customPermissions" minOccurs="0" maxOccurs="unbounded">
              <xs:complexType>
                <xs:sequence>
                  <xs:element type="xs:boolean" name="enabled"/>
                  <xs:element type="xs:string" name="name"/>
                </xs:sequence>
              </xs:complexType>
            </xs:element>
            <xs:element type="xs:string" name="description" minOccurs="0"/>
            <xs:element name="externalDataSourceAccesses" minOccurs="0" maxOccurs="unbounded">
              <xs:complexType>
                <xs:sequence>
                  <xs:element type="xs:boolean" name="enabled"/>
                  <xs:element type="xs:string" name="externalDataSource" minOccurs="0"/>
                </xs:sequence>
              </xs:complexType>
            </xs:element>
            <xs:element name="fieldPermissions" minOccurs="0" maxOccurs="unbounded">
              <xs:complexType>
                <xs:sequence>
                  <xs:element type="xs:boolean" name="editable"/>
                  <xs:element type="xs:string" name="field"/>
                  <xs:element type="xs:boolean" name="readable"/>
                </xs:sequence>
              </xs:complexType>
            </xs:element>
            <xs:element type="xs:boolean" name="hasActivationRequired" minOccurs="0"/>
            <xs:element type="xs:string" name="label"/>
            <xs:element type="xs:string" name="license" minOccurs="0"/>
            <xs:element name="objectPermissions" minOccurs="0" maxOccurs="unbounded">
              <xs:complexType>
                <xs:sequence>
                  <xs:element type="xs:boolean" name="allowCreate"/>
                  <xs:element type="xs:boolean" name="allowDelete"/>
                  <xs:element type="xs:boolean" name="allowEdit"/>
                  <xs:element type="xs:boolean" name="allowRead"/>
                  <xs:element type="xs:boolean" name="modifyAllRecords"/>
                  <xs:element type="xs:string" name="object"/>
                  <xs:element type="xs:boolean" name="viewAllRecords"/>
                </xs:sequence>
              </xs:complexType>
            </xs:element>
            <xs:element name="pageAccesses" minOccurs="0" maxOccurs="unbounded">
              <xs:complexType>
                <xs:sequence>
                  <xs:element type="xs:string" name="apexPage"/>
                  <xs:element type="xs:boolean" name="enabled"/>
                </xs:sequence>
              </xs:complexType>
            </xs:element>
            <xs:element name="recordTypeVisibilities" minOccurs="0" maxOccurs="unbounded">
              <xs:complexType>
                <xs:sequence>
                  <xs:element type="xs:string" name="recordType"/>
                  <xs:element type="xs:boolean" name="visible"/>
                </xs:sequence>
              </xs:complexType>
            </xs:element>
            <xs:element name="tabVisibilities" minOccurs="0" maxOccurs="unbounded">
              <xs:complexType>
                <xs:sequence>
                  <xs:element type="xs:string" name="tab"/>
                  <xs:element type="xs:string" name="visibility"/>
                </xs:sequence>
              </xs:complexType>
            </xs:element>
            <xs:element type="xs:string" name="userLicense" minOccurs="0"/>
            <xs:element name="userPermissions" minOccurs="0" maxOccurs="unbounded">
              <xs:complexType>
                <xs:sequence>
                  <xs:element type="xs:boolean" name="enabled"/>
                  <xs:element type="xs:string" name="name"/>
                </xs:sequence>
              </xs:complexType>
            </xs:element>
          </xs:sequence>
        </xs:complexType>
      </xs:element>
    </xs:schema>
  </Schema>
  <Map ID="3" Name="PermissionSet_Map" RootElement="PermissionSet" SchemaID="Schema3" ShowImportExportValidationErrors="true" AutoFit="true" Append="false" PreserveSortAFLayout="true" PreserveFormat="true"/>
  <Map ID="2" Name="Profile_Map" RootElement="Profile" SchemaID="Schema2" ShowImportExportValidationErrors="tru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1171575</xdr:colOff>
          <xdr:row>1</xdr:row>
          <xdr:rowOff>9525</xdr:rowOff>
        </xdr:from>
        <xdr:to>
          <xdr:col>8</xdr:col>
          <xdr:colOff>38100</xdr:colOff>
          <xdr:row>2</xdr:row>
          <xdr:rowOff>57150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12B03B8-F442-4A1E-AEE2-3EE3C7B7D556}" name="Table11" displayName="Table11" ref="A4:C5" tableType="xml" insertRow="1" totalsRowShown="0" connectionId="1">
  <autoFilter ref="A4:C5" xr:uid="{D057116B-05E8-4247-B053-55FD19E51C80}"/>
  <tableColumns count="3">
    <tableColumn id="1" xr3:uid="{50B53F71-EA83-4B26-8F7D-98D38E8FDE95}" uniqueName="application" name="Application">
      <xmlColumnPr mapId="2" xpath="/Profile/applicationVisibilities/application" xmlDataType="string"/>
    </tableColumn>
    <tableColumn id="2" xr3:uid="{12573831-041C-491D-994F-B502232068B3}" uniqueName="visible" name="visible">
      <xmlColumnPr mapId="2" xpath="/Profile/applicationVisibilities/visible" xmlDataType="boolean"/>
    </tableColumn>
    <tableColumn id="3" xr3:uid="{946343A8-FDA7-4114-AA39-2C1AAC0ADF51}" uniqueName="default" name="default">
      <xmlColumnPr mapId="2" xpath="/Profile/applicationVisibilities/default" xmlDataType="boolean"/>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0F2A0FB-A881-4B45-AF54-32FBD6C29F8C}" name="Table28" displayName="Table28" ref="A9:B10" tableType="xml" insertRow="1" totalsRowShown="0">
  <autoFilter ref="A9:B10" xr:uid="{599635B7-F272-4B7F-B1A0-F2DDA0B756BC}"/>
  <tableColumns count="2">
    <tableColumn id="1" xr3:uid="{B10F57F8-BEC2-48C8-80B8-82607182CA26}" uniqueName="application" name="Application">
      <xmlColumnPr mapId="3" xpath="/PermissionSet/applicationVisibilities/application" xmlDataType="string"/>
    </tableColumn>
    <tableColumn id="2" xr3:uid="{3830055B-D2D0-4A0B-B569-F399FD1F2B9B}" uniqueName="visible" name="visible">
      <xmlColumnPr mapId="3" xpath="/PermissionSet/applicationVisibilities/visible" xmlDataType="boolean"/>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10B9018-AD16-48D8-971C-5844F36711A4}" name="Table15" displayName="Table15" ref="A4:B5" tableType="xml" insertRow="1" totalsRowShown="0" connectionId="1">
  <autoFilter ref="A4:B5" xr:uid="{8F020872-8CC8-480D-B445-D203F88F1D14}"/>
  <tableColumns count="2">
    <tableColumn id="1" xr3:uid="{1319D242-DE15-40FC-9FF8-7CFEE85569C9}" uniqueName="apexClass" name="Apex Class">
      <xmlColumnPr mapId="2" xpath="/Profile/classAccesses/apexClass" xmlDataType="string"/>
    </tableColumn>
    <tableColumn id="2" xr3:uid="{57149893-FA50-410D-B6D1-E733271FD7D4}" uniqueName="enabled" name="enabled">
      <xmlColumnPr mapId="2" xpath="/Profile/classAccesses/enabled" xmlDataType="boolean"/>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7FA85FC-A73B-4F2D-B6A2-2DF47ED43B05}" name="Table30" displayName="Table30" ref="A9:B10" tableType="xml" insertRow="1" totalsRowShown="0">
  <autoFilter ref="A9:B10" xr:uid="{01420D8E-3DB6-4A6B-93E3-3C65CBE766E3}"/>
  <tableColumns count="2">
    <tableColumn id="1" xr3:uid="{201BBA35-B40F-4253-AEDB-54640806BB38}" uniqueName="apexClass" name="Apex Class">
      <xmlColumnPr mapId="3" xpath="/PermissionSet/classAccesses/apexClass" xmlDataType="string"/>
    </tableColumn>
    <tableColumn id="2" xr3:uid="{FBDB2533-33CE-4FD9-82AC-DE371F0B90F2}" uniqueName="enabled" name="enabled">
      <xmlColumnPr mapId="3" xpath="/PermissionSet/classAccesses/enabled" xmlDataType="boolean"/>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9CD3EC26-C39C-4FE5-99D8-220B678F08B0}" name="Table17" displayName="Table17" ref="A4:B5" tableType="xml" insertRow="1" totalsRowShown="0" connectionId="1">
  <autoFilter ref="A4:B5" xr:uid="{AE93FB21-1609-4E57-BA02-4421237B1E41}"/>
  <tableColumns count="2">
    <tableColumn id="1" xr3:uid="{E2DB7817-2929-4759-9F3F-53F96CD739F8}" uniqueName="name" name="Custom Permission">
      <xmlColumnPr mapId="2" xpath="/Profile/customPermissions/name" xmlDataType="string"/>
    </tableColumn>
    <tableColumn id="2" xr3:uid="{D64B65B5-18A4-4A08-8A5F-E418E6D7FFFA}" uniqueName="enabled" name="enabled">
      <xmlColumnPr mapId="2" xpath="/Profile/customPermissions/enabled" xmlDataType="boolean"/>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BC02E654-9EBB-404F-ABED-87AB39B4620F}" name="Table31" displayName="Table31" ref="A9:B10" tableType="xml" insertRow="1" totalsRowShown="0">
  <autoFilter ref="A9:B10" xr:uid="{20DD5134-B7F1-4D6A-A13B-D7879216B4CD}"/>
  <tableColumns count="2">
    <tableColumn id="1" xr3:uid="{CBA6A875-25E2-45F4-BAC9-3287A33E9CC5}" uniqueName="name" name="Custom Permission">
      <xmlColumnPr mapId="3" xpath="/PermissionSet/customPermissions/name" xmlDataType="string"/>
    </tableColumn>
    <tableColumn id="2" xr3:uid="{627F6BE6-DD6D-4166-ABA5-1D7020AE5189}" uniqueName="enabled" name="enabled">
      <xmlColumnPr mapId="3" xpath="/PermissionSet/customPermissions/enabled" xmlDataType="boolean"/>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F5FEB42-FA0A-447E-8A73-471B424AE085}" name="Table18" displayName="Table18" ref="A4:B5" tableType="xml" insertRow="1" totalsRowShown="0" connectionId="1">
  <autoFilter ref="A4:B5" xr:uid="{F8B89402-D336-479E-806B-30755495E878}"/>
  <tableColumns count="2">
    <tableColumn id="1" xr3:uid="{5F61AA8D-DFEC-4D24-BFAC-1F75390CE236}" uniqueName="externalDataSource" name="External Data Source">
      <xmlColumnPr mapId="2" xpath="/Profile/externalDataSourceAccesses/externalDataSource" xmlDataType="string"/>
    </tableColumn>
    <tableColumn id="2" xr3:uid="{BD6561D8-CF47-4456-9535-7453647443DB}" uniqueName="enabled" name="enabled">
      <xmlColumnPr mapId="2" xpath="/Profile/externalDataSourceAccesses/enabled" xmlDataType="boolean"/>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F1788C6-1014-41BC-9B1B-CC3BFB6D8CDB}" name="Table32" displayName="Table32" ref="A9:B10" tableType="xml" totalsRowShown="0">
  <autoFilter ref="A9:B10" xr:uid="{75956E57-85E5-40AE-97C6-5467034303E9}"/>
  <tableColumns count="2">
    <tableColumn id="1" xr3:uid="{AB6D2C24-D7BF-467A-BC71-E2586C2AC949}" uniqueName="externalDataSource" name="External Data Source">
      <xmlColumnPr mapId="3" xpath="/PermissionSet/externalDataSourceAccesses/externalDataSource" xmlDataType="string"/>
    </tableColumn>
    <tableColumn id="2" xr3:uid="{511DB478-3B82-4522-86D6-5CFD2BD01842}" uniqueName="enabled" name="enabled">
      <xmlColumnPr mapId="3" xpath="/PermissionSet/externalDataSourceAccesses/enabled" xmlDataType="boolean"/>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FB0C21F-7761-4F29-8963-C1BA7629F160}" name="Table19" displayName="Table19" ref="A4:C5" tableType="xml" insertRow="1" totalsRowShown="0" connectionId="1">
  <autoFilter ref="A4:C5" xr:uid="{B077E1F0-3606-4371-A927-007CC486D686}"/>
  <tableColumns count="3">
    <tableColumn id="1" xr3:uid="{962C253A-CAC1-489E-B55E-A22613BE7A7E}" uniqueName="field" name="Field">
      <xmlColumnPr mapId="2" xpath="/Profile/fieldPermissions/field" xmlDataType="string"/>
    </tableColumn>
    <tableColumn id="2" xr3:uid="{C8B3BA28-9CC9-4C10-BD55-154BE7B456CB}" uniqueName="readable" name="readable">
      <xmlColumnPr mapId="2" xpath="/Profile/fieldPermissions/readable" xmlDataType="boolean"/>
    </tableColumn>
    <tableColumn id="3" xr3:uid="{0259E0A4-9FE6-40C7-9222-F399594E3C69}" uniqueName="editable" name="editable">
      <xmlColumnPr mapId="2" xpath="/Profile/fieldPermissions/editable" xmlDataType="boolean"/>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7D474989-08A2-45E9-B8E9-C8E0B023B7A6}" name="Table33" displayName="Table33" ref="A9:C10" tableType="xml" insertRow="1" totalsRowShown="0">
  <autoFilter ref="A9:C10" xr:uid="{E2C712C5-8A1F-44A8-BBB1-E10BCDA05311}"/>
  <tableColumns count="3">
    <tableColumn id="1" xr3:uid="{CB7E07C9-7EE2-494E-AECC-DA641AC38181}" uniqueName="field" name="Field">
      <xmlColumnPr mapId="3" xpath="/PermissionSet/fieldPermissions/field" xmlDataType="string"/>
    </tableColumn>
    <tableColumn id="2" xr3:uid="{73525842-E23E-408C-AE14-E2976B927AC3}" uniqueName="readable" name="readable">
      <xmlColumnPr mapId="3" xpath="/PermissionSet/fieldPermissions/readable" xmlDataType="boolean"/>
    </tableColumn>
    <tableColumn id="3" xr3:uid="{5ECAE363-1706-41D9-8007-7F9C5AA79C58}" uniqueName="editable" name="editable">
      <xmlColumnPr mapId="3" xpath="/PermissionSet/fieldPermissions/editable" xmlDataType="boolean"/>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733A1D2-317C-44F6-ABC4-2EAD4B32AE34}" name="Table20" displayName="Table20" ref="A4:B5" tableType="xml" insertRow="1" totalsRowShown="0" connectionId="1">
  <autoFilter ref="A4:B5" xr:uid="{51A5DBC6-0109-4CD2-A4FE-FFDD179D9098}"/>
  <tableColumns count="2">
    <tableColumn id="1" xr3:uid="{87DE8C08-9573-4602-A6D7-4BC549D472A4}" uniqueName="layout" name="Layout">
      <xmlColumnPr mapId="2" xpath="/Profile/layoutAssignments/layout" xmlDataType="string"/>
    </tableColumn>
    <tableColumn id="2" xr3:uid="{52BBD110-4E86-4FCF-A843-C8E27760EF4A}" uniqueName="recordType" name="Record Type">
      <xmlColumnPr mapId="2" xpath="/Profile/layoutAssignments/recordType" xmlDataType="string"/>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1C68458-0C08-4134-9809-775E86661B0F}" name="Table21" displayName="Table21" ref="A4:B5" tableType="xml" insertRow="1" totalsRowShown="0" connectionId="1">
  <autoFilter ref="A4:B5" xr:uid="{19DE25A7-A431-4773-BB25-32A6DDBDD0B5}"/>
  <tableColumns count="2">
    <tableColumn id="1" xr3:uid="{8F19FB26-673F-4B28-B0AF-74DB38F3AB04}" uniqueName="weekdayStart" name="weekdayStart">
      <xmlColumnPr mapId="2" xpath="/Profile/loginHours/weekdayStart" xmlDataType="string"/>
    </tableColumn>
    <tableColumn id="2" xr3:uid="{EC75E09C-9CA3-450B-9309-E2F10FB71BD0}" uniqueName="weekdayEnd" name="weekdayEnd">
      <xmlColumnPr mapId="2" xpath="/Profile/loginHours/weekdayEnd" xmlDataType="string"/>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44735EF-9273-4A58-8512-D822221E5F25}" name="Table1" displayName="Table1" ref="A4:C5" tableType="xml" insertRow="1" totalsRowShown="0" connectionId="1">
  <autoFilter ref="A4:C5" xr:uid="{629A11FC-1F2D-4AD9-9762-828796F46388}"/>
  <tableColumns count="3">
    <tableColumn id="1" xr3:uid="{981DF3DD-21DB-45E5-8DDD-59497E0168A0}" uniqueName="description" name="description">
      <xmlColumnPr mapId="2" xpath="/Profile/loginIpRanges/description" xmlDataType="string"/>
    </tableColumn>
    <tableColumn id="2" xr3:uid="{0941EABC-00BF-497E-9782-F08802ED2758}" uniqueName="startAddress" name="startAddress">
      <xmlColumnPr mapId="2" xpath="/Profile/loginIpRanges/startAddress" xmlDataType="string"/>
    </tableColumn>
    <tableColumn id="3" xr3:uid="{7BDF33AF-6B60-4135-B602-EC4ACA6898FF}" uniqueName="endAddress" name="endAddress">
      <xmlColumnPr mapId="2" xpath="/Profile/loginIpRanges/endAddress" xmlDataType="string"/>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658BE7A-4D28-48F3-91BF-7327AE693EAA}" name="Table2" displayName="Table2" ref="A4:G5" tableType="xml" insertRow="1" totalsRowShown="0" connectionId="1">
  <autoFilter ref="A4:G5" xr:uid="{2B8A1567-9EA4-4BE8-9C85-CB044A82887B}"/>
  <tableColumns count="7">
    <tableColumn id="1" xr3:uid="{6A156FEF-FAFF-4460-AFA3-8D7F268C4EE3}" uniqueName="object" name="Object Name" dataDxfId="6">
      <xmlColumnPr mapId="2" xpath="/Profile/objectPermissions/object" xmlDataType="string"/>
    </tableColumn>
    <tableColumn id="2" xr3:uid="{43005007-E5DA-4CD6-81DA-E7A8A9E51F3B}" uniqueName="allowRead" name="allowRead" dataDxfId="5">
      <xmlColumnPr mapId="2" xpath="/Profile/objectPermissions/allowRead" xmlDataType="boolean"/>
    </tableColumn>
    <tableColumn id="3" xr3:uid="{23D0ECA2-8055-4BD5-9F67-AEFE30CFAEDB}" uniqueName="allowCreate" name="allowCreate" dataDxfId="4">
      <xmlColumnPr mapId="2" xpath="/Profile/objectPermissions/allowCreate" xmlDataType="boolean"/>
    </tableColumn>
    <tableColumn id="4" xr3:uid="{2DA9FCD9-B0BD-47B4-B683-227942CD292E}" uniqueName="allowEdit" name="allowEdit" dataDxfId="3">
      <xmlColumnPr mapId="2" xpath="/Profile/objectPermissions/allowEdit" xmlDataType="boolean"/>
    </tableColumn>
    <tableColumn id="5" xr3:uid="{CA264CDF-EFFB-4CDB-B7D0-68ECF3A28716}" uniqueName="allowDelete" name="allowDelete" dataDxfId="2">
      <xmlColumnPr mapId="2" xpath="/Profile/objectPermissions/allowDelete" xmlDataType="boolean"/>
    </tableColumn>
    <tableColumn id="6" xr3:uid="{E5B3DB94-9DF3-4DD9-A7E5-D10AB83ADAA8}" uniqueName="viewAllRecords" name="viewAllRecords" dataDxfId="1">
      <xmlColumnPr mapId="2" xpath="/Profile/objectPermissions/viewAllRecords" xmlDataType="boolean"/>
    </tableColumn>
    <tableColumn id="7" xr3:uid="{D1A406FB-8351-4D1F-9BEE-A1863D611E2E}" uniqueName="modifyAllRecords" name="modifyAllRecords" dataDxfId="0">
      <xmlColumnPr mapId="2" xpath="/Profile/objectPermissions/modifyAllRecords" xmlDataType="boolean"/>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2E500B4-47E2-45B9-95DB-5E4B2D91FD6F}" name="Table35" displayName="Table35" ref="A9:G10" tableType="xml" insertRow="1" totalsRowShown="0">
  <autoFilter ref="A9:G10" xr:uid="{52F9A765-D6CD-41EA-9792-BBCF5087D070}"/>
  <tableColumns count="7">
    <tableColumn id="1" xr3:uid="{0CBC05E1-4D0A-4244-BBCC-4C6950903F8B}" uniqueName="object" name="Object Name">
      <xmlColumnPr mapId="3" xpath="/PermissionSet/objectPermissions/object" xmlDataType="string"/>
    </tableColumn>
    <tableColumn id="2" xr3:uid="{058794BD-BF49-4422-99D9-07CEBDD4DC9C}" uniqueName="allowRead" name="allowRead">
      <xmlColumnPr mapId="3" xpath="/PermissionSet/objectPermissions/allowRead" xmlDataType="boolean"/>
    </tableColumn>
    <tableColumn id="3" xr3:uid="{01ECD028-BC61-4CD4-BF92-F1762C828342}" uniqueName="allowCreate" name="allowCreate">
      <xmlColumnPr mapId="3" xpath="/PermissionSet/objectPermissions/allowCreate" xmlDataType="boolean"/>
    </tableColumn>
    <tableColumn id="4" xr3:uid="{4C15425D-3EBB-4250-8276-E1FE4665845B}" uniqueName="allowEdit" name="allowEdit">
      <xmlColumnPr mapId="3" xpath="/PermissionSet/objectPermissions/allowEdit" xmlDataType="boolean"/>
    </tableColumn>
    <tableColumn id="5" xr3:uid="{C3F3E4A9-F3AF-40CA-8B79-F5C79E633011}" uniqueName="allowDelete" name="allowDelete">
      <xmlColumnPr mapId="3" xpath="/PermissionSet/objectPermissions/allowDelete" xmlDataType="boolean"/>
    </tableColumn>
    <tableColumn id="6" xr3:uid="{E3F42ED8-B7DA-4DD5-B296-00C1E7EC9B30}" uniqueName="viewAllRecords" name="viewAllRecords">
      <xmlColumnPr mapId="3" xpath="/PermissionSet/objectPermissions/viewAllRecords" xmlDataType="boolean"/>
    </tableColumn>
    <tableColumn id="7" xr3:uid="{9138C486-51F6-403E-B5AC-41B70E658AC5}" uniqueName="modifyAllRecords" name="modifyAllRecords">
      <xmlColumnPr mapId="3" xpath="/PermissionSet/objectPermissions/modifyAllRecords" xmlDataType="boolean"/>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1E58137-E517-4030-A15E-EB368634207F}" name="Table5" displayName="Table5" ref="A4:B5" tableType="xml" insertRow="1" totalsRowShown="0" connectionId="1">
  <autoFilter ref="A4:B5" xr:uid="{2821DD34-C201-424A-873F-0763C85D69D0}"/>
  <tableColumns count="2">
    <tableColumn id="1" xr3:uid="{ED8D1486-B9BC-4622-897D-1365317D8F5A}" uniqueName="apexPage" name="VisualForce Page">
      <xmlColumnPr mapId="2" xpath="/Profile/pageAccesses/apexPage" xmlDataType="string"/>
    </tableColumn>
    <tableColumn id="2" xr3:uid="{3E67C318-EDC3-49F9-B359-441483298DAF}" uniqueName="enabled" name="enabled">
      <xmlColumnPr mapId="2" xpath="/Profile/pageAccesses/enabled" xmlDataType="boolean"/>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8AF78AEB-DD8B-4A66-A844-48E9AF0FC297}" name="Table37" displayName="Table37" ref="A9:B10" tableType="xml" insertRow="1" totalsRowShown="0">
  <autoFilter ref="A9:B10" xr:uid="{741F9A27-5C3D-4621-A25B-581B32B98FDA}"/>
  <tableColumns count="2">
    <tableColumn id="1" xr3:uid="{C2FAC3A7-6085-4438-A54B-1D75EBEFA88B}" uniqueName="apexPage" name="VisualForce Page">
      <xmlColumnPr mapId="3" xpath="/PermissionSet/pageAccesses/apexPage" xmlDataType="string"/>
    </tableColumn>
    <tableColumn id="2" xr3:uid="{4E78FE4A-6EE4-4DE6-9FE2-2BA40DFAF914}" uniqueName="enabled" name="enabled">
      <xmlColumnPr mapId="3" xpath="/PermissionSet/pageAccesses/enabled" xmlDataType="boolean"/>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83D56A3-6A87-428D-BC96-72695ED493A5}" name="Table16" displayName="Table16" ref="A4:D5" tableType="xml" insertRow="1" totalsRowShown="0" connectionId="1">
  <autoFilter ref="A4:D5" xr:uid="{23988FE7-4927-40BF-BCF3-E91DA1E0E675}"/>
  <tableColumns count="4">
    <tableColumn id="1" xr3:uid="{07E520A6-809E-4BDB-8B35-3011DA14618B}" uniqueName="recordType" name="Record Type">
      <xmlColumnPr mapId="2" xpath="/Profile/recordTypeVisibilities/recordType" xmlDataType="string"/>
    </tableColumn>
    <tableColumn id="2" xr3:uid="{A97F8D69-4817-458A-BCA6-B8BAAF41A7C6}" uniqueName="visible" name="visible">
      <xmlColumnPr mapId="2" xpath="/Profile/recordTypeVisibilities/visible" xmlDataType="boolean"/>
    </tableColumn>
    <tableColumn id="3" xr3:uid="{5183D501-2E1F-452D-ACF9-473A8C3514EE}" uniqueName="default" name="default">
      <xmlColumnPr mapId="2" xpath="/Profile/recordTypeVisibilities/default" xmlDataType="boolean"/>
    </tableColumn>
    <tableColumn id="4" xr3:uid="{D9D32A8C-0118-4080-B898-53A89D5D334C}" uniqueName="personAccountDefault" name="personAccountDefault">
      <xmlColumnPr mapId="2" xpath="/Profile/recordTypeVisibilities/personAccountDefault" xmlDataType="boolean"/>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2A2FE32F-757D-467D-BE1B-2033EEC82F7C}" name="Table38" displayName="Table38" ref="A9:B10" tableType="xml" insertRow="1" totalsRowShown="0">
  <autoFilter ref="A9:B10" xr:uid="{B8955B74-8044-42BF-89DF-8B298DA0D173}"/>
  <tableColumns count="2">
    <tableColumn id="1" xr3:uid="{1C01E184-DF4B-4ECB-BE37-6DE5F42D617B}" uniqueName="recordType" name="Record Type">
      <xmlColumnPr mapId="3" xpath="/PermissionSet/recordTypeVisibilities/recordType" xmlDataType="string"/>
    </tableColumn>
    <tableColumn id="2" xr3:uid="{72FEA274-FB1D-467D-ACB5-74955897ED55}" uniqueName="visible" name="visible">
      <xmlColumnPr mapId="3" xpath="/PermissionSet/recordTypeVisibilities/visible" xmlDataType="boolean"/>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CBF1C46-9B27-47B7-9B77-B61AD1253AD3}" name="Table39" displayName="Table39" ref="A9:B10" tableType="xml" insertRow="1" totalsRowShown="0">
  <autoFilter ref="A9:B10" xr:uid="{E42324A4-754C-47B8-80EC-310AAF9ACCD3}"/>
  <tableColumns count="2">
    <tableColumn id="1" xr3:uid="{FABE0AE5-873F-4F56-96F1-14C59DCD5CAC}" uniqueName="tab" name="Tab">
      <xmlColumnPr mapId="3" xpath="/PermissionSet/tabVisibilities/tab" xmlDataType="string"/>
    </tableColumn>
    <tableColumn id="2" xr3:uid="{690E3405-E9AA-436C-B773-9CB74B10B43A}" uniqueName="visibility" name="visibility">
      <xmlColumnPr mapId="3" xpath="/PermissionSet/tabVisibilities/visibility" xmlDataType="string"/>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D2FE893-8090-4FBC-9476-FDB8ADA4EA3B}" name="Table12" displayName="Table12" ref="A4:B5" tableType="xml" insertRow="1" totalsRowShown="0" connectionId="1">
  <autoFilter ref="A4:B5" xr:uid="{231263EC-03A6-4068-9CBD-D0278EE1A648}"/>
  <tableColumns count="2">
    <tableColumn id="1" xr3:uid="{FC540AEC-9823-4340-B2CD-151D0A4482E6}" uniqueName="tab" name="Tab">
      <xmlColumnPr mapId="2" xpath="/Profile/tabVisibilities/tab" xmlDataType="string"/>
    </tableColumn>
    <tableColumn id="2" xr3:uid="{0414D794-0425-4E5E-A7FD-C4A45F737ABF}" uniqueName="visibility" name="visibility">
      <xmlColumnPr mapId="2" xpath="/Profile/tabVisibilities/visibility" xmlDataType="string"/>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41CA366-E9CA-4640-A73D-6382D227A734}" name="Table40" displayName="Table40" ref="A9:B10" tableType="xml" insertRow="1" totalsRowShown="0">
  <autoFilter ref="A9:B10" xr:uid="{E66B823C-DF80-4A4B-BF5D-879067973A97}"/>
  <tableColumns count="2">
    <tableColumn id="1" xr3:uid="{975933D7-6C3A-49EB-9931-F0FC49FC962D}" uniqueName="name" name="User Permission">
      <xmlColumnPr mapId="3" xpath="/PermissionSet/userPermissions/name" xmlDataType="string"/>
    </tableColumn>
    <tableColumn id="2" xr3:uid="{B458F070-55FF-4457-9036-27B442E9B568}" uniqueName="enabled" name="enabled">
      <xmlColumnPr mapId="3" xpath="/PermissionSet/userPermissions/enabled" xmlDataType="boolean"/>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522010A-61D8-4883-9B69-43AF4B87FAF7}" name="Table24" displayName="Table24" ref="A4:B5" tableType="xml" insertRow="1" totalsRowShown="0" connectionId="1">
  <autoFilter ref="A4:B5" xr:uid="{BC461B7F-46A9-46AC-9ECC-32DF067B3430}"/>
  <tableColumns count="2">
    <tableColumn id="1" xr3:uid="{97F7F5F1-A943-4F53-96A7-B818684404F4}" uniqueName="name" name="User Permission">
      <xmlColumnPr mapId="2" xpath="/Profile/userPermissions/name" xmlDataType="string"/>
    </tableColumn>
    <tableColumn id="2" xr3:uid="{C0E99DBD-9C3E-4D2F-9DC7-C917B239B6DC}" uniqueName="enabled" name="enabled">
      <xmlColumnPr mapId="2" xpath="/Profile/userPermissions/enabled" xmlDataType="boolean"/>
    </tableColumn>
  </tableColumns>
  <tableStyleInfo name="TableStyleMedium2"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0" xr6:uid="{833082D9-F9BB-4140-BDAC-2E1FA2FD962F}" r="B6" connectionId="1">
    <xmlCellPr id="1" xr6:uid="{3816D27A-7308-46AF-A063-2CEDA3AEA259}" uniqueName="custom">
      <xmlPr mapId="2" xpath="/Profile/custom" xmlDataType="boolean"/>
    </xmlCellPr>
  </singleXmlCell>
  <singleXmlCell id="8" xr6:uid="{2C370A3A-9FB5-42DD-B50F-77985B8F81AE}" r="B3" connectionId="1">
    <xmlCellPr id="1" xr6:uid="{DD50404C-23A8-4BE5-9FA4-71C7347EB65B}" uniqueName="description">
      <xmlPr mapId="2" xpath="/Profile/description" xmlDataType="string"/>
    </xmlCellPr>
  </singleXmlCell>
  <singleXmlCell id="4" xr6:uid="{56FB20D0-6B32-48D4-91FB-55E89677AFD9}" r="B4" connectionId="1">
    <xmlCellPr id="1" xr6:uid="{124E5D41-E5F9-4698-99A6-0E1E7C57D535}" uniqueName="userLicense">
      <xmlPr mapId="2" xpath="/Profile/userLicense" xmlDataType="string"/>
    </xmlCellPr>
  </singleXmlCell>
  <singleXmlCell id="3" xr6:uid="{BC0F315A-8A71-4AA4-871B-9F22DF2006AD}" r="B2" connectionId="1">
    <xmlCellPr id="1" xr6:uid="{6E63681E-9752-45FD-AC9C-99210DD7C0F3}" uniqueName="fullName">
      <xmlPr mapId="2" xpath="/Profile/fullName" xmlDataType="string"/>
    </xmlCellPr>
  </singleXmlCell>
  <singleXmlCell id="23" xr6:uid="{9B8A5225-6D2A-42C8-9A30-21D466E1BE9B}" r="C2" connectionId="0">
    <xmlCellPr id="1" xr6:uid="{1CCBC095-6BE9-423D-8909-FD5A8165D956}" uniqueName="label">
      <xmlPr mapId="3" xpath="/PermissionSet/label" xmlDataType="string"/>
    </xmlCellPr>
  </singleXmlCell>
  <singleXmlCell id="25" xr6:uid="{7D3B1BA5-E3E7-4EC7-8EF1-65FD69064640}" r="C3" connectionId="0">
    <xmlCellPr id="1" xr6:uid="{A460865C-93A4-450D-AA36-FEC41DDD7F48}" uniqueName="description">
      <xmlPr mapId="3" xpath="/PermissionSet/description" xmlDataType="string"/>
    </xmlCellPr>
  </singleXmlCell>
  <singleXmlCell id="26" xr6:uid="{1CF89F07-E051-41FF-BF12-C0452C515119}" r="C4" connectionId="0">
    <xmlCellPr id="1" xr6:uid="{62F443AD-F097-41AB-ACC9-0ECA782E93D2}" uniqueName="license">
      <xmlPr mapId="3" xpath="/PermissionSet/license" xmlDataType="string"/>
    </xmlCellPr>
  </singleXmlCell>
  <singleXmlCell id="27" xr6:uid="{844C440E-4921-4F7A-A47C-A3E3A611E6D2}" r="C5" connectionId="0">
    <xmlCellPr id="1" xr6:uid="{421EC159-ECBC-4794-A3D0-9975FF8FAA09}" uniqueName="userLicense">
      <xmlPr mapId="3" xpath="/PermissionSet/userLicense" xmlDataType="string"/>
    </xmlCellPr>
  </singleXmlCell>
  <singleXmlCell id="34" xr6:uid="{C1E59D0C-0473-48CB-9D66-414716E8C60B}" r="C7" connectionId="0">
    <xmlCellPr id="1" xr6:uid="{71188844-863A-4384-A01A-3C23104C5344}" uniqueName="hasActivationRequired">
      <xmlPr mapId="3" xpath="/PermissionSet/hasActivationRequired" xmlDataType="boolean"/>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SingleCells" Target="../tables/tableSingleCell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table" Target="../tables/table18.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51C9B-4654-4E02-AB14-98398B046F31}">
  <sheetPr codeName="Sheet17"/>
  <dimension ref="A1:Q13"/>
  <sheetViews>
    <sheetView workbookViewId="0">
      <selection activeCell="B3" sqref="B3:Q3"/>
    </sheetView>
  </sheetViews>
  <sheetFormatPr defaultRowHeight="15" x14ac:dyDescent="0.25"/>
  <cols>
    <col min="1" max="1" width="37.7109375" customWidth="1"/>
    <col min="2" max="2" width="20.140625" customWidth="1"/>
    <col min="4" max="4" width="23" customWidth="1"/>
  </cols>
  <sheetData>
    <row r="1" spans="1:17" ht="18" customHeight="1" x14ac:dyDescent="0.25">
      <c r="A1" s="26" t="s">
        <v>57</v>
      </c>
      <c r="B1" s="27"/>
      <c r="C1" s="27"/>
      <c r="D1" s="27"/>
      <c r="E1" s="27"/>
      <c r="F1" s="27"/>
      <c r="G1" s="27"/>
      <c r="H1" s="27"/>
      <c r="I1" s="27"/>
      <c r="J1" s="27"/>
      <c r="K1" s="27"/>
      <c r="L1" s="27"/>
      <c r="M1" s="27"/>
      <c r="N1" s="27"/>
      <c r="O1" s="27"/>
      <c r="P1" s="27"/>
      <c r="Q1" s="27"/>
    </row>
    <row r="2" spans="1:17" ht="21.75" customHeight="1" x14ac:dyDescent="0.25"/>
    <row r="3" spans="1:17" ht="79.5" customHeight="1" x14ac:dyDescent="0.25">
      <c r="A3" s="18" t="s">
        <v>58</v>
      </c>
      <c r="B3" s="24" t="s">
        <v>59</v>
      </c>
      <c r="C3" s="25"/>
      <c r="D3" s="25"/>
      <c r="E3" s="25"/>
      <c r="F3" s="25"/>
      <c r="G3" s="25"/>
      <c r="H3" s="25"/>
      <c r="I3" s="25"/>
      <c r="J3" s="25"/>
      <c r="K3" s="25"/>
      <c r="L3" s="25"/>
      <c r="M3" s="25"/>
      <c r="N3" s="25"/>
      <c r="O3" s="25"/>
      <c r="P3" s="25"/>
      <c r="Q3" s="25"/>
    </row>
    <row r="4" spans="1:17" ht="113.25" customHeight="1" x14ac:dyDescent="0.25">
      <c r="A4" s="18" t="s">
        <v>60</v>
      </c>
      <c r="B4" s="24" t="s">
        <v>61</v>
      </c>
      <c r="C4" s="25"/>
      <c r="D4" s="25"/>
      <c r="E4" s="25"/>
      <c r="F4" s="25"/>
      <c r="G4" s="25"/>
      <c r="H4" s="25"/>
      <c r="I4" s="25"/>
      <c r="J4" s="25"/>
      <c r="K4" s="25"/>
      <c r="L4" s="25"/>
      <c r="M4" s="25"/>
      <c r="N4" s="25"/>
      <c r="O4" s="25"/>
      <c r="P4" s="25"/>
      <c r="Q4" s="25"/>
    </row>
    <row r="5" spans="1:17" ht="27" customHeight="1" x14ac:dyDescent="0.25">
      <c r="A5" s="18" t="s">
        <v>62</v>
      </c>
      <c r="B5" s="24" t="s">
        <v>63</v>
      </c>
      <c r="C5" s="25"/>
      <c r="D5" s="25"/>
      <c r="E5" s="25"/>
      <c r="F5" s="25"/>
      <c r="G5" s="25"/>
      <c r="H5" s="25"/>
      <c r="I5" s="25"/>
      <c r="J5" s="25"/>
      <c r="K5" s="25"/>
      <c r="L5" s="25"/>
      <c r="M5" s="25"/>
      <c r="N5" s="25"/>
      <c r="O5" s="25"/>
      <c r="P5" s="25"/>
      <c r="Q5" s="25"/>
    </row>
    <row r="6" spans="1:17" ht="47.25" customHeight="1" x14ac:dyDescent="0.25">
      <c r="A6" s="18" t="s">
        <v>64</v>
      </c>
      <c r="B6" s="24" t="s">
        <v>65</v>
      </c>
      <c r="C6" s="24"/>
      <c r="D6" s="24"/>
      <c r="E6" s="24"/>
      <c r="F6" s="24"/>
      <c r="G6" s="24"/>
      <c r="H6" s="24"/>
      <c r="I6" s="24"/>
      <c r="J6" s="24"/>
      <c r="K6" s="24"/>
      <c r="L6" s="24"/>
      <c r="M6" s="24"/>
      <c r="N6" s="24"/>
      <c r="O6" s="24"/>
      <c r="P6" s="24"/>
      <c r="Q6" s="24"/>
    </row>
    <row r="7" spans="1:17" ht="16.5" x14ac:dyDescent="0.25">
      <c r="A7" s="19"/>
      <c r="B7" s="17"/>
      <c r="C7" s="17"/>
      <c r="D7" s="17"/>
      <c r="E7" s="17"/>
      <c r="F7" s="17"/>
      <c r="G7" s="17"/>
      <c r="H7" s="17"/>
      <c r="I7" s="17"/>
      <c r="J7" s="17"/>
      <c r="K7" s="17"/>
      <c r="L7" s="17"/>
      <c r="M7" s="17"/>
      <c r="N7" s="17"/>
      <c r="O7" s="17"/>
      <c r="P7" s="17"/>
      <c r="Q7" s="17"/>
    </row>
    <row r="8" spans="1:17" ht="51" customHeight="1" x14ac:dyDescent="0.25">
      <c r="A8" s="19" t="s">
        <v>66</v>
      </c>
      <c r="B8" s="24" t="s">
        <v>67</v>
      </c>
      <c r="C8" s="25"/>
      <c r="D8" s="25"/>
      <c r="E8" s="25"/>
      <c r="F8" s="25"/>
      <c r="G8" s="25"/>
      <c r="H8" s="25"/>
      <c r="I8" s="25"/>
      <c r="J8" s="25"/>
      <c r="K8" s="25"/>
      <c r="L8" s="25"/>
      <c r="M8" s="25"/>
      <c r="N8" s="25"/>
      <c r="O8" s="25"/>
      <c r="P8" s="25"/>
      <c r="Q8" s="25"/>
    </row>
    <row r="9" spans="1:17" ht="15.75" x14ac:dyDescent="0.25">
      <c r="A9" s="20" t="s">
        <v>68</v>
      </c>
      <c r="B9" s="24" t="s">
        <v>69</v>
      </c>
      <c r="C9" s="25"/>
      <c r="D9" s="25"/>
      <c r="E9" s="25"/>
      <c r="F9" s="25"/>
      <c r="G9" s="25"/>
      <c r="H9" s="25"/>
      <c r="I9" s="25"/>
      <c r="J9" s="25"/>
      <c r="K9" s="25"/>
      <c r="L9" s="25"/>
      <c r="M9" s="25"/>
      <c r="N9" s="25"/>
      <c r="O9" s="25"/>
      <c r="P9" s="25"/>
      <c r="Q9" s="25"/>
    </row>
    <row r="10" spans="1:17" ht="114" customHeight="1" x14ac:dyDescent="0.25">
      <c r="A10" s="21" t="s">
        <v>70</v>
      </c>
      <c r="B10" s="24" t="s">
        <v>71</v>
      </c>
      <c r="C10" s="25"/>
      <c r="D10" s="25"/>
      <c r="E10" s="25"/>
      <c r="F10" s="25"/>
      <c r="G10" s="25"/>
      <c r="H10" s="25"/>
      <c r="I10" s="25"/>
      <c r="J10" s="25"/>
      <c r="K10" s="25"/>
      <c r="L10" s="25"/>
      <c r="M10" s="25"/>
      <c r="N10" s="25"/>
      <c r="O10" s="25"/>
      <c r="P10" s="25"/>
      <c r="Q10" s="25"/>
    </row>
    <row r="11" spans="1:17" ht="137.25" customHeight="1" x14ac:dyDescent="0.25">
      <c r="B11" s="24" t="s">
        <v>72</v>
      </c>
      <c r="C11" s="24"/>
      <c r="D11" s="24"/>
      <c r="E11" s="24"/>
      <c r="F11" s="24"/>
      <c r="G11" s="24"/>
      <c r="H11" s="24"/>
      <c r="I11" s="24"/>
      <c r="J11" s="24"/>
      <c r="K11" s="24"/>
      <c r="L11" s="24"/>
      <c r="M11" s="24"/>
      <c r="N11" s="24"/>
      <c r="O11" s="24"/>
      <c r="P11" s="24"/>
      <c r="Q11" s="24"/>
    </row>
    <row r="12" spans="1:17" ht="16.5" x14ac:dyDescent="0.25">
      <c r="B12" s="16"/>
      <c r="C12" s="16"/>
      <c r="D12" s="16"/>
      <c r="E12" s="16"/>
      <c r="F12" s="16"/>
      <c r="G12" s="16"/>
      <c r="H12" s="16"/>
      <c r="I12" s="16"/>
      <c r="J12" s="16"/>
      <c r="K12" s="16"/>
      <c r="L12" s="16"/>
      <c r="M12" s="16"/>
      <c r="N12" s="16"/>
      <c r="O12" s="16"/>
      <c r="P12" s="16"/>
      <c r="Q12" s="16"/>
    </row>
    <row r="13" spans="1:17" x14ac:dyDescent="0.25">
      <c r="A13" t="s">
        <v>73</v>
      </c>
    </row>
  </sheetData>
  <mergeCells count="9">
    <mergeCell ref="B9:Q9"/>
    <mergeCell ref="B10:Q10"/>
    <mergeCell ref="B11:Q11"/>
    <mergeCell ref="A1:Q1"/>
    <mergeCell ref="B3:Q3"/>
    <mergeCell ref="B4:Q4"/>
    <mergeCell ref="B5:Q5"/>
    <mergeCell ref="B6:Q6"/>
    <mergeCell ref="B8:Q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9E958-6381-448F-A50C-C12A2C198DC6}">
  <sheetPr codeName="Sheet1"/>
  <dimension ref="A1:K24"/>
  <sheetViews>
    <sheetView workbookViewId="0">
      <selection activeCell="E15" sqref="E15"/>
    </sheetView>
  </sheetViews>
  <sheetFormatPr defaultRowHeight="15" x14ac:dyDescent="0.25"/>
  <cols>
    <col min="1" max="1" width="60.7109375" customWidth="1"/>
    <col min="2" max="3" width="45.7109375" customWidth="1"/>
    <col min="4" max="11" width="25.140625" customWidth="1"/>
  </cols>
  <sheetData>
    <row r="1" spans="1:11" ht="39.950000000000003" customHeight="1" x14ac:dyDescent="0.3">
      <c r="A1" s="13"/>
      <c r="B1" s="11" t="s">
        <v>36</v>
      </c>
      <c r="C1" s="11" t="s">
        <v>37</v>
      </c>
      <c r="D1" s="2"/>
      <c r="E1" s="2"/>
      <c r="F1" s="2"/>
      <c r="G1" s="2"/>
      <c r="H1" s="2"/>
      <c r="I1" s="2"/>
      <c r="J1" s="2"/>
      <c r="K1" s="2"/>
    </row>
    <row r="2" spans="1:11" x14ac:dyDescent="0.25">
      <c r="A2" s="2" t="s">
        <v>38</v>
      </c>
      <c r="B2" s="22"/>
      <c r="C2" s="23"/>
      <c r="D2" s="2"/>
      <c r="E2" s="2"/>
      <c r="F2" s="2"/>
      <c r="G2" s="2"/>
      <c r="H2" s="2"/>
      <c r="I2" s="2"/>
      <c r="J2" s="2"/>
      <c r="K2" s="2"/>
    </row>
    <row r="3" spans="1:11" x14ac:dyDescent="0.25">
      <c r="A3" s="2" t="s">
        <v>13</v>
      </c>
      <c r="B3" s="22"/>
      <c r="C3" s="22"/>
    </row>
    <row r="4" spans="1:11" x14ac:dyDescent="0.25">
      <c r="A4" s="2" t="s">
        <v>12</v>
      </c>
      <c r="B4" s="22"/>
      <c r="C4" s="22"/>
    </row>
    <row r="5" spans="1:11" x14ac:dyDescent="0.25">
      <c r="A5" s="2"/>
      <c r="B5" s="22"/>
      <c r="C5" s="22"/>
    </row>
    <row r="6" spans="1:11" x14ac:dyDescent="0.25">
      <c r="A6" s="2" t="s">
        <v>5</v>
      </c>
      <c r="B6" s="1"/>
      <c r="C6" t="s">
        <v>39</v>
      </c>
    </row>
    <row r="7" spans="1:11" x14ac:dyDescent="0.25">
      <c r="A7" s="2" t="s">
        <v>44</v>
      </c>
      <c r="B7" s="1" t="s">
        <v>39</v>
      </c>
    </row>
    <row r="8" spans="1:11" ht="15.75" thickBot="1" x14ac:dyDescent="0.3">
      <c r="A8" s="2"/>
      <c r="B8" s="1"/>
    </row>
    <row r="9" spans="1:11" ht="16.5" thickTop="1" x14ac:dyDescent="0.25">
      <c r="A9" s="7" t="s">
        <v>40</v>
      </c>
      <c r="B9" s="8"/>
      <c r="C9" s="9"/>
    </row>
    <row r="10" spans="1:11" x14ac:dyDescent="0.25">
      <c r="A10" s="6" t="s">
        <v>46</v>
      </c>
      <c r="B10" s="3" t="str">
        <f>HYPERLINK("#ApplicationVisibility!AppVisA1","ApplicationVisibility")</f>
        <v>ApplicationVisibility</v>
      </c>
    </row>
    <row r="11" spans="1:11" x14ac:dyDescent="0.25">
      <c r="A11" s="6" t="s">
        <v>47</v>
      </c>
      <c r="B11" s="3" t="str">
        <f>HYPERLINK("#CategoryGroupVisibilities!DataCatA1","CategoryGroupVisibilities")</f>
        <v>CategoryGroupVisibilities</v>
      </c>
      <c r="C11" t="s">
        <v>48</v>
      </c>
    </row>
    <row r="12" spans="1:11" x14ac:dyDescent="0.25">
      <c r="A12" s="6" t="s">
        <v>46</v>
      </c>
      <c r="B12" s="3" t="str">
        <f>HYPERLINK("#ApexClassAccess!ApexClassA1","ApexClassAccess")</f>
        <v>ApexClassAccess</v>
      </c>
    </row>
    <row r="13" spans="1:11" x14ac:dyDescent="0.25">
      <c r="A13" s="6" t="s">
        <v>46</v>
      </c>
      <c r="B13" s="3" t="str">
        <f>HYPERLINK("#CustomPermissions!CustPermsA1","CustomPermissions")</f>
        <v>CustomPermissions</v>
      </c>
    </row>
    <row r="14" spans="1:11" x14ac:dyDescent="0.25">
      <c r="A14" s="6" t="s">
        <v>46</v>
      </c>
      <c r="B14" s="3" t="str">
        <f>HYPERLINK("#ExternalDataSourceAccesses!ExtDataSrcA1","ExternalDataSourceAccesses")</f>
        <v>ExternalDataSourceAccesses</v>
      </c>
    </row>
    <row r="15" spans="1:11" x14ac:dyDescent="0.25">
      <c r="A15" s="6" t="s">
        <v>46</v>
      </c>
      <c r="B15" s="3" t="str">
        <f>HYPERLINK("#FieldPermissions!FieldPermsA1","FieldPermissions")</f>
        <v>FieldPermissions</v>
      </c>
    </row>
    <row r="16" spans="1:11" x14ac:dyDescent="0.25">
      <c r="A16" s="6" t="s">
        <v>47</v>
      </c>
      <c r="B16" s="3" t="str">
        <f>HYPERLINK("#LayoutAssignments!LayoutAssignsA1","LayoutAssignments")</f>
        <v>LayoutAssignments</v>
      </c>
    </row>
    <row r="17" spans="1:2" x14ac:dyDescent="0.25">
      <c r="A17" s="6" t="s">
        <v>47</v>
      </c>
      <c r="B17" s="3" t="str">
        <f>HYPERLINK("#LoginHours!LoginHoursA1","LoginHours")</f>
        <v>LoginHours</v>
      </c>
    </row>
    <row r="18" spans="1:2" x14ac:dyDescent="0.25">
      <c r="A18" s="6" t="s">
        <v>47</v>
      </c>
      <c r="B18" s="3" t="str">
        <f>HYPERLINK("#LoginIpRanges!LoginIpRangesA1","LoginIpRanges")</f>
        <v>LoginIpRanges</v>
      </c>
    </row>
    <row r="19" spans="1:2" x14ac:dyDescent="0.25">
      <c r="A19" s="6" t="s">
        <v>46</v>
      </c>
      <c r="B19" s="3" t="str">
        <f>HYPERLINK("#ObjectPermissions!ObjectPermsA1","ObjectPermissions")</f>
        <v>ObjectPermissions</v>
      </c>
    </row>
    <row r="20" spans="1:2" x14ac:dyDescent="0.25">
      <c r="A20" s="6" t="s">
        <v>46</v>
      </c>
      <c r="B20" s="3" t="str">
        <f>HYPERLINK("#VfPageAccess!VfPageAccessA1","VfPageAccess")</f>
        <v>VfPageAccess</v>
      </c>
    </row>
    <row r="21" spans="1:2" x14ac:dyDescent="0.25">
      <c r="A21" s="6" t="s">
        <v>47</v>
      </c>
      <c r="B21" s="3" t="str">
        <f>HYPERLINK("#ProfileActionOverrides!ProfActionOverridesA1","ProfileActionOverrides")</f>
        <v>ProfileActionOverrides</v>
      </c>
    </row>
    <row r="22" spans="1:2" x14ac:dyDescent="0.25">
      <c r="A22" s="6" t="s">
        <v>46</v>
      </c>
      <c r="B22" s="3" t="str">
        <f>HYPERLINK("#RecordTypeVisibility!RecordTypeVisA1","RecordTypeVisibility")</f>
        <v>RecordTypeVisibility</v>
      </c>
    </row>
    <row r="23" spans="1:2" x14ac:dyDescent="0.25">
      <c r="A23" s="6" t="s">
        <v>46</v>
      </c>
      <c r="B23" s="3" t="str">
        <f>HYPERLINK("#TabVisibilities!TabVisA1","TabVisibilities")</f>
        <v>TabVisibilities</v>
      </c>
    </row>
    <row r="24" spans="1:2" x14ac:dyDescent="0.25">
      <c r="A24" s="6" t="s">
        <v>46</v>
      </c>
      <c r="B24" s="3" t="str">
        <f>HYPERLINK("#UserPermissions!UserPermsA1","UserPermissions")</f>
        <v>UserPermissions</v>
      </c>
    </row>
  </sheetData>
  <autoFilter ref="A9:A24" xr:uid="{9EF9B31E-3D70-4FE6-9FFE-17D6B5DDDFCA}"/>
  <pageMargins left="0.7" right="0.7" top="0.75" bottom="0.75" header="0.3" footer="0.3"/>
  <pageSetup orientation="portrait" horizontalDpi="0" verticalDpi="0" r:id="rId1"/>
  <ignoredErrors>
    <ignoredError sqref="B13 B1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from>
                    <xdr:col>7</xdr:col>
                    <xdr:colOff>1171575</xdr:colOff>
                    <xdr:row>1</xdr:row>
                    <xdr:rowOff>9525</xdr:rowOff>
                  </from>
                  <to>
                    <xdr:col>8</xdr:col>
                    <xdr:colOff>38100</xdr:colOff>
                    <xdr:row>2</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87556-FF5B-4C2F-9413-A291DDD607DF}">
  <sheetPr codeName="Sheet2"/>
  <dimension ref="A1:F10"/>
  <sheetViews>
    <sheetView workbookViewId="0">
      <selection activeCell="B10" sqref="B10:B11"/>
    </sheetView>
  </sheetViews>
  <sheetFormatPr defaultRowHeight="15" x14ac:dyDescent="0.25"/>
  <cols>
    <col min="1" max="1" width="40.7109375" customWidth="1"/>
    <col min="2" max="2" width="23.28515625" customWidth="1"/>
    <col min="3" max="3" width="20.7109375" customWidth="1"/>
    <col min="4" max="4" width="25.7109375" customWidth="1"/>
    <col min="5" max="5" width="45.7109375" customWidth="1"/>
    <col min="6" max="6" width="16.7109375" customWidth="1"/>
  </cols>
  <sheetData>
    <row r="1" spans="1:6" ht="39.950000000000003" customHeight="1" x14ac:dyDescent="0.25">
      <c r="A1" s="12"/>
      <c r="B1" s="28" t="s">
        <v>52</v>
      </c>
      <c r="C1" s="28"/>
      <c r="D1" s="15" t="str">
        <f>HYPERLINK("#BasicInfo!ProfileNameA1","Back to Basic Info Tab")</f>
        <v>Back to Basic Info Tab</v>
      </c>
      <c r="F1" s="3"/>
    </row>
    <row r="2" spans="1:6" ht="18" customHeight="1" x14ac:dyDescent="0.3">
      <c r="A2" s="4"/>
      <c r="C2" s="3"/>
      <c r="D2" s="3"/>
      <c r="F2" s="3"/>
    </row>
    <row r="3" spans="1:6" ht="18" customHeight="1" x14ac:dyDescent="0.25">
      <c r="A3" s="5" t="s">
        <v>41</v>
      </c>
      <c r="C3" s="3"/>
      <c r="D3" s="3"/>
      <c r="F3" s="3"/>
    </row>
    <row r="4" spans="1:6" x14ac:dyDescent="0.25">
      <c r="A4" t="s">
        <v>18</v>
      </c>
      <c r="B4" t="s">
        <v>1</v>
      </c>
      <c r="C4" t="s">
        <v>0</v>
      </c>
    </row>
    <row r="5" spans="1:6" x14ac:dyDescent="0.25">
      <c r="A5" s="1"/>
    </row>
    <row r="6" spans="1:6" x14ac:dyDescent="0.25">
      <c r="A6" s="1"/>
    </row>
    <row r="8" spans="1:6" ht="15.75" x14ac:dyDescent="0.25">
      <c r="A8" s="5" t="s">
        <v>42</v>
      </c>
    </row>
    <row r="9" spans="1:6" x14ac:dyDescent="0.25">
      <c r="A9" t="s">
        <v>18</v>
      </c>
      <c r="B9" t="s">
        <v>1</v>
      </c>
    </row>
    <row r="10" spans="1:6" x14ac:dyDescent="0.25">
      <c r="A10" s="1"/>
    </row>
  </sheetData>
  <mergeCells count="1">
    <mergeCell ref="B1:C1"/>
  </mergeCells>
  <dataValidations count="1">
    <dataValidation type="list" allowBlank="1" showInputMessage="1" showErrorMessage="1" sqref="B5:C6 B10:B11" xr:uid="{944FC019-A69F-42A1-AA3D-44F3F2AC12AD}">
      <formula1>"TRUE,FALSE"</formula1>
    </dataValidation>
  </dataValidations>
  <pageMargins left="0.7" right="0.7" top="0.75" bottom="0.75" header="0.3" footer="0.3"/>
  <pageSetup orientation="portrait" horizontalDpi="0" verticalDpi="0"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040FC-B509-419C-BC72-15E569CC80D0}">
  <sheetPr codeName="Sheet3"/>
  <dimension ref="A1:I8"/>
  <sheetViews>
    <sheetView workbookViewId="0">
      <selection activeCell="D1" sqref="D1"/>
    </sheetView>
  </sheetViews>
  <sheetFormatPr defaultRowHeight="15" x14ac:dyDescent="0.25"/>
  <cols>
    <col min="1" max="1" width="40.7109375" customWidth="1"/>
    <col min="2" max="3" width="20.7109375" customWidth="1"/>
    <col min="4" max="4" width="25.7109375" customWidth="1"/>
  </cols>
  <sheetData>
    <row r="1" spans="1:9" ht="39.950000000000003" customHeight="1" x14ac:dyDescent="0.25">
      <c r="A1" s="12"/>
      <c r="D1" s="15" t="str">
        <f>HYPERLINK("#BasicInfo!ProfileNameA1","Back to Basic Info Tab")</f>
        <v>Back to Basic Info Tab</v>
      </c>
    </row>
    <row r="2" spans="1:9" ht="18.75" x14ac:dyDescent="0.3">
      <c r="A2" s="4"/>
      <c r="D2" s="3"/>
    </row>
    <row r="3" spans="1:9" ht="15.75" x14ac:dyDescent="0.25">
      <c r="A3" s="5" t="s">
        <v>43</v>
      </c>
      <c r="D3" s="3"/>
    </row>
    <row r="4" spans="1:9" ht="15.75" x14ac:dyDescent="0.25">
      <c r="A4" s="5"/>
      <c r="D4" s="3"/>
    </row>
    <row r="5" spans="1:9" ht="51" customHeight="1" x14ac:dyDescent="0.25">
      <c r="A5" s="24" t="s">
        <v>49</v>
      </c>
      <c r="B5" s="24"/>
      <c r="C5" s="24"/>
      <c r="D5" s="24"/>
      <c r="E5" s="24"/>
      <c r="F5" s="24"/>
      <c r="G5" s="24"/>
      <c r="H5" s="24"/>
      <c r="I5" s="24"/>
    </row>
    <row r="6" spans="1:9" ht="144" customHeight="1" x14ac:dyDescent="0.25">
      <c r="A6" s="24" t="s">
        <v>51</v>
      </c>
      <c r="B6" s="24"/>
      <c r="C6" s="24"/>
      <c r="D6" s="24"/>
      <c r="E6" s="24"/>
      <c r="F6" s="24"/>
      <c r="G6" s="24"/>
      <c r="H6" s="24"/>
      <c r="I6" s="24"/>
    </row>
    <row r="7" spans="1:9" ht="36.75" customHeight="1" x14ac:dyDescent="0.25">
      <c r="A7" s="24" t="s">
        <v>50</v>
      </c>
      <c r="B7" s="29"/>
      <c r="C7" s="29"/>
      <c r="D7" s="29"/>
      <c r="E7" s="29"/>
      <c r="F7" s="29"/>
      <c r="G7" s="29"/>
      <c r="H7" s="29"/>
      <c r="I7" s="29"/>
    </row>
    <row r="8" spans="1:9" x14ac:dyDescent="0.25">
      <c r="D8" s="10"/>
    </row>
  </sheetData>
  <mergeCells count="3">
    <mergeCell ref="A5:I5"/>
    <mergeCell ref="A6:I6"/>
    <mergeCell ref="A7:I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82CA3-A591-4529-8DAF-F455F42FC839}">
  <sheetPr codeName="Sheet4"/>
  <dimension ref="A1:D10"/>
  <sheetViews>
    <sheetView workbookViewId="0">
      <selection activeCell="B10" sqref="B10:B11"/>
    </sheetView>
  </sheetViews>
  <sheetFormatPr defaultRowHeight="15" x14ac:dyDescent="0.25"/>
  <cols>
    <col min="1" max="1" width="40.7109375" customWidth="1"/>
    <col min="2" max="3" width="20.7109375" customWidth="1"/>
    <col min="4" max="4" width="25.7109375" customWidth="1"/>
    <col min="5" max="5" width="45.7109375" customWidth="1"/>
  </cols>
  <sheetData>
    <row r="1" spans="1:4" ht="39.950000000000003" customHeight="1" x14ac:dyDescent="0.25">
      <c r="A1" s="12"/>
      <c r="B1" s="28" t="s">
        <v>53</v>
      </c>
      <c r="C1" s="28"/>
      <c r="D1" s="15" t="str">
        <f>HYPERLINK("#BasicInfo!ProfileNameA1","Back to Basic Info Tab")</f>
        <v>Back to Basic Info Tab</v>
      </c>
    </row>
    <row r="2" spans="1:4" ht="18.75" x14ac:dyDescent="0.3">
      <c r="A2" s="4"/>
      <c r="D2" s="3"/>
    </row>
    <row r="3" spans="1:4" ht="15.75" x14ac:dyDescent="0.25">
      <c r="A3" s="5" t="s">
        <v>41</v>
      </c>
      <c r="D3" s="3"/>
    </row>
    <row r="4" spans="1:4" x14ac:dyDescent="0.25">
      <c r="A4" t="s">
        <v>17</v>
      </c>
      <c r="B4" t="s">
        <v>2</v>
      </c>
    </row>
    <row r="5" spans="1:4" x14ac:dyDescent="0.25">
      <c r="A5" s="1"/>
    </row>
    <row r="6" spans="1:4" x14ac:dyDescent="0.25">
      <c r="A6" s="1"/>
    </row>
    <row r="8" spans="1:4" ht="15.75" x14ac:dyDescent="0.25">
      <c r="A8" s="5" t="s">
        <v>42</v>
      </c>
    </row>
    <row r="9" spans="1:4" x14ac:dyDescent="0.25">
      <c r="A9" t="s">
        <v>17</v>
      </c>
      <c r="B9" t="s">
        <v>2</v>
      </c>
    </row>
    <row r="10" spans="1:4" x14ac:dyDescent="0.25">
      <c r="A10" s="1"/>
    </row>
  </sheetData>
  <mergeCells count="1">
    <mergeCell ref="B1:C1"/>
  </mergeCells>
  <dataValidations count="1">
    <dataValidation type="list" allowBlank="1" showInputMessage="1" showErrorMessage="1" sqref="B5:B6 B10:B11" xr:uid="{76F5ECBB-C641-4B7D-8272-DE7D1A79D7D0}">
      <formula1>"TRUE,FALSE"</formula1>
    </dataValidation>
  </dataValidations>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790D7-621A-4E13-9E44-55C638BF73E9}">
  <sheetPr codeName="Sheet5"/>
  <dimension ref="A1:D10"/>
  <sheetViews>
    <sheetView workbookViewId="0">
      <selection activeCell="E17" sqref="E17"/>
    </sheetView>
  </sheetViews>
  <sheetFormatPr defaultRowHeight="15" x14ac:dyDescent="0.25"/>
  <cols>
    <col min="1" max="1" width="40.7109375" customWidth="1"/>
    <col min="2" max="3" width="20.7109375" customWidth="1"/>
    <col min="4" max="4" width="25.85546875" customWidth="1"/>
    <col min="5" max="5" width="45.7109375" customWidth="1"/>
  </cols>
  <sheetData>
    <row r="1" spans="1:4" ht="39.950000000000003" customHeight="1" x14ac:dyDescent="0.25">
      <c r="A1" s="12"/>
      <c r="B1" s="28" t="s">
        <v>53</v>
      </c>
      <c r="C1" s="28"/>
      <c r="D1" s="15" t="str">
        <f>HYPERLINK("#BasicInfo!ProfileNameA1","Back to Basic Info Tab")</f>
        <v>Back to Basic Info Tab</v>
      </c>
    </row>
    <row r="2" spans="1:4" ht="18.75" x14ac:dyDescent="0.3">
      <c r="A2" s="4"/>
      <c r="D2" s="3"/>
    </row>
    <row r="3" spans="1:4" ht="15.75" x14ac:dyDescent="0.25">
      <c r="A3" s="5" t="s">
        <v>41</v>
      </c>
      <c r="D3" s="3"/>
    </row>
    <row r="4" spans="1:4" x14ac:dyDescent="0.25">
      <c r="A4" t="s">
        <v>16</v>
      </c>
      <c r="B4" t="s">
        <v>2</v>
      </c>
    </row>
    <row r="5" spans="1:4" x14ac:dyDescent="0.25">
      <c r="A5" s="1"/>
    </row>
    <row r="6" spans="1:4" x14ac:dyDescent="0.25">
      <c r="A6" s="1"/>
    </row>
    <row r="8" spans="1:4" ht="15.75" x14ac:dyDescent="0.25">
      <c r="A8" s="5" t="s">
        <v>42</v>
      </c>
    </row>
    <row r="9" spans="1:4" x14ac:dyDescent="0.25">
      <c r="A9" t="s">
        <v>16</v>
      </c>
      <c r="B9" t="s">
        <v>2</v>
      </c>
    </row>
    <row r="10" spans="1:4" x14ac:dyDescent="0.25">
      <c r="A10" s="1"/>
    </row>
  </sheetData>
  <mergeCells count="1">
    <mergeCell ref="B1:C1"/>
  </mergeCells>
  <dataValidations count="1">
    <dataValidation type="list" allowBlank="1" showInputMessage="1" showErrorMessage="1" sqref="B5:B6 B10:B11" xr:uid="{02EA5592-E174-49F3-8DC5-18EEF7B2017E}">
      <formula1>"TRUE,FALSE"</formula1>
    </dataValidation>
  </dataValidations>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CF9F4-6A86-4DD0-B014-8187D71D5BEA}">
  <sheetPr codeName="Sheet6"/>
  <dimension ref="A1:D10"/>
  <sheetViews>
    <sheetView workbookViewId="0">
      <selection activeCell="D8" sqref="D8"/>
    </sheetView>
  </sheetViews>
  <sheetFormatPr defaultRowHeight="15" x14ac:dyDescent="0.25"/>
  <cols>
    <col min="1" max="1" width="40.7109375" customWidth="1"/>
    <col min="2" max="3" width="20.7109375" customWidth="1"/>
    <col min="4" max="4" width="25.7109375" customWidth="1"/>
    <col min="5" max="5" width="45.7109375" customWidth="1"/>
  </cols>
  <sheetData>
    <row r="1" spans="1:4" ht="39.950000000000003" customHeight="1" x14ac:dyDescent="0.25">
      <c r="A1" s="12"/>
      <c r="B1" s="28" t="s">
        <v>53</v>
      </c>
      <c r="C1" s="28"/>
      <c r="D1" s="15" t="str">
        <f>HYPERLINK("#BasicInfo!ProfileNameA1","Back to Basic Info Tab")</f>
        <v>Back to Basic Info Tab</v>
      </c>
    </row>
    <row r="2" spans="1:4" ht="18.75" x14ac:dyDescent="0.3">
      <c r="A2" s="4"/>
      <c r="D2" s="3"/>
    </row>
    <row r="3" spans="1:4" ht="15.75" x14ac:dyDescent="0.25">
      <c r="A3" s="5" t="s">
        <v>41</v>
      </c>
      <c r="D3" s="3"/>
    </row>
    <row r="4" spans="1:4" x14ac:dyDescent="0.25">
      <c r="A4" t="s">
        <v>15</v>
      </c>
      <c r="B4" t="s">
        <v>2</v>
      </c>
    </row>
    <row r="5" spans="1:4" x14ac:dyDescent="0.25">
      <c r="A5" s="1"/>
    </row>
    <row r="6" spans="1:4" x14ac:dyDescent="0.25">
      <c r="A6" s="1"/>
    </row>
    <row r="8" spans="1:4" ht="15.75" x14ac:dyDescent="0.25">
      <c r="A8" s="5" t="s">
        <v>42</v>
      </c>
    </row>
    <row r="9" spans="1:4" x14ac:dyDescent="0.25">
      <c r="A9" t="s">
        <v>15</v>
      </c>
      <c r="B9" t="s">
        <v>2</v>
      </c>
    </row>
    <row r="10" spans="1:4" x14ac:dyDescent="0.25">
      <c r="A10" s="1"/>
    </row>
  </sheetData>
  <mergeCells count="1">
    <mergeCell ref="B1:C1"/>
  </mergeCells>
  <dataValidations count="1">
    <dataValidation type="list" allowBlank="1" showInputMessage="1" showErrorMessage="1" sqref="B5:B6 B10:B11" xr:uid="{6A299181-C6F1-4586-A567-D265EA1AB383}">
      <formula1>"TRUE,FALSE"</formula1>
    </dataValidation>
  </dataValidations>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4B3BB-1ECE-45A9-A846-AAC9D9C61212}">
  <sheetPr codeName="Sheet7"/>
  <dimension ref="A1:D10"/>
  <sheetViews>
    <sheetView workbookViewId="0">
      <selection activeCell="C11" sqref="C11"/>
    </sheetView>
  </sheetViews>
  <sheetFormatPr defaultRowHeight="15" x14ac:dyDescent="0.25"/>
  <cols>
    <col min="1" max="1" width="40.7109375" customWidth="1"/>
    <col min="2" max="3" width="20.7109375" customWidth="1"/>
    <col min="4" max="4" width="21.140625" customWidth="1"/>
  </cols>
  <sheetData>
    <row r="1" spans="1:4" ht="39.950000000000003" customHeight="1" x14ac:dyDescent="0.25">
      <c r="A1" s="12"/>
      <c r="B1" s="28" t="s">
        <v>54</v>
      </c>
      <c r="C1" s="28"/>
      <c r="D1" s="15" t="str">
        <f>HYPERLINK("#BasicInfo!ProfileNameA1","Back to Basic Info Tab")</f>
        <v>Back to Basic Info Tab</v>
      </c>
    </row>
    <row r="2" spans="1:4" ht="19.5" customHeight="1" x14ac:dyDescent="0.3">
      <c r="A2" s="4"/>
      <c r="D2" s="3"/>
    </row>
    <row r="3" spans="1:4" ht="19.5" customHeight="1" x14ac:dyDescent="0.25">
      <c r="A3" s="5" t="s">
        <v>41</v>
      </c>
      <c r="D3" s="3"/>
    </row>
    <row r="4" spans="1:4" x14ac:dyDescent="0.25">
      <c r="A4" t="s">
        <v>14</v>
      </c>
      <c r="B4" t="s">
        <v>4</v>
      </c>
      <c r="C4" t="s">
        <v>3</v>
      </c>
    </row>
    <row r="5" spans="1:4" x14ac:dyDescent="0.25">
      <c r="A5" s="1"/>
    </row>
    <row r="6" spans="1:4" x14ac:dyDescent="0.25">
      <c r="A6" s="1"/>
    </row>
    <row r="8" spans="1:4" ht="15.75" x14ac:dyDescent="0.25">
      <c r="A8" s="5" t="s">
        <v>42</v>
      </c>
    </row>
    <row r="9" spans="1:4" x14ac:dyDescent="0.25">
      <c r="A9" t="s">
        <v>14</v>
      </c>
      <c r="B9" t="s">
        <v>4</v>
      </c>
      <c r="C9" t="s">
        <v>3</v>
      </c>
    </row>
    <row r="10" spans="1:4" x14ac:dyDescent="0.25">
      <c r="A10" s="1"/>
    </row>
  </sheetData>
  <mergeCells count="1">
    <mergeCell ref="B1:C1"/>
  </mergeCells>
  <dataValidations count="1">
    <dataValidation type="list" allowBlank="1" showInputMessage="1" showErrorMessage="1" sqref="B5:C6 B10:C11" xr:uid="{2E072D4A-FE5E-488D-9F97-B1FAC78284E8}">
      <formula1>"TRUE,FALSE"</formula1>
    </dataValidation>
  </dataValidations>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EABC0-8FDF-45EC-94A0-8F293A2C983E}">
  <sheetPr codeName="Sheet8"/>
  <dimension ref="A1:D5"/>
  <sheetViews>
    <sheetView workbookViewId="0">
      <selection activeCell="B6" sqref="B6"/>
    </sheetView>
  </sheetViews>
  <sheetFormatPr defaultRowHeight="15" x14ac:dyDescent="0.25"/>
  <cols>
    <col min="1" max="1" width="40.7109375" customWidth="1"/>
    <col min="2" max="3" width="20.7109375" customWidth="1"/>
    <col min="4" max="4" width="23.140625" customWidth="1"/>
  </cols>
  <sheetData>
    <row r="1" spans="1:4" ht="39.950000000000003" customHeight="1" x14ac:dyDescent="0.25">
      <c r="A1" s="12"/>
      <c r="D1" s="15" t="str">
        <f>HYPERLINK("#BasicInfo!ProfileNameA1","Back to Basic Info Tab")</f>
        <v>Back to Basic Info Tab</v>
      </c>
    </row>
    <row r="2" spans="1:4" ht="18.75" x14ac:dyDescent="0.3">
      <c r="A2" s="4"/>
      <c r="D2" s="3"/>
    </row>
    <row r="3" spans="1:4" ht="15.75" x14ac:dyDescent="0.25">
      <c r="A3" s="5" t="s">
        <v>43</v>
      </c>
      <c r="D3" s="3"/>
    </row>
    <row r="4" spans="1:4" x14ac:dyDescent="0.25">
      <c r="A4" t="s">
        <v>19</v>
      </c>
      <c r="B4" t="s">
        <v>20</v>
      </c>
    </row>
    <row r="5" spans="1:4" x14ac:dyDescent="0.25">
      <c r="A5" s="1"/>
      <c r="B5" s="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A4E9C-9396-498F-B5E7-88A15855E316}">
  <sheetPr codeName="Sheet9"/>
  <dimension ref="A1:D5"/>
  <sheetViews>
    <sheetView workbookViewId="0">
      <selection activeCell="B5" sqref="B5"/>
    </sheetView>
  </sheetViews>
  <sheetFormatPr defaultRowHeight="15" x14ac:dyDescent="0.25"/>
  <cols>
    <col min="1" max="1" width="34.5703125" customWidth="1"/>
    <col min="2" max="2" width="39.5703125" customWidth="1"/>
    <col min="3" max="3" width="20.7109375" customWidth="1"/>
    <col min="4" max="4" width="22.140625" customWidth="1"/>
  </cols>
  <sheetData>
    <row r="1" spans="1:4" ht="39.950000000000003" customHeight="1" x14ac:dyDescent="0.25">
      <c r="A1" s="12"/>
      <c r="D1" s="15" t="str">
        <f>HYPERLINK("#BasicInfo!ProfileNameA1","Back to Basic Info Tab")</f>
        <v>Back to Basic Info Tab</v>
      </c>
    </row>
    <row r="2" spans="1:4" ht="18.75" x14ac:dyDescent="0.3">
      <c r="A2" s="4"/>
      <c r="D2" s="3"/>
    </row>
    <row r="3" spans="1:4" ht="15.75" x14ac:dyDescent="0.25">
      <c r="A3" s="5" t="s">
        <v>43</v>
      </c>
      <c r="D3" s="3"/>
    </row>
    <row r="4" spans="1:4" x14ac:dyDescent="0.25">
      <c r="A4" t="s">
        <v>21</v>
      </c>
      <c r="B4" t="s">
        <v>22</v>
      </c>
    </row>
    <row r="5" spans="1:4" x14ac:dyDescent="0.25">
      <c r="A5" s="1"/>
      <c r="B5" s="1"/>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E53C7-BBE9-45E1-BD09-2D153059AB34}">
  <sheetPr codeName="Sheet10"/>
  <dimension ref="A1:D5"/>
  <sheetViews>
    <sheetView workbookViewId="0">
      <selection activeCell="A5" sqref="A5"/>
    </sheetView>
  </sheetViews>
  <sheetFormatPr defaultRowHeight="15" x14ac:dyDescent="0.25"/>
  <cols>
    <col min="1" max="1" width="40.7109375" customWidth="1"/>
    <col min="2" max="3" width="20.7109375" customWidth="1"/>
    <col min="4" max="4" width="22.140625" customWidth="1"/>
  </cols>
  <sheetData>
    <row r="1" spans="1:4" ht="39.950000000000003" customHeight="1" x14ac:dyDescent="0.25">
      <c r="A1" s="12"/>
      <c r="D1" s="15" t="str">
        <f>HYPERLINK("#BasicInfo!ProfileNameA1","Back to Basic Info Tab")</f>
        <v>Back to Basic Info Tab</v>
      </c>
    </row>
    <row r="2" spans="1:4" ht="18.75" x14ac:dyDescent="0.3">
      <c r="A2" s="4"/>
      <c r="D2" s="3"/>
    </row>
    <row r="3" spans="1:4" ht="15.75" x14ac:dyDescent="0.25">
      <c r="A3" s="5" t="s">
        <v>43</v>
      </c>
      <c r="D3" s="3"/>
    </row>
    <row r="4" spans="1:4" x14ac:dyDescent="0.25">
      <c r="A4" t="s">
        <v>23</v>
      </c>
      <c r="B4" t="s">
        <v>24</v>
      </c>
      <c r="C4" t="s">
        <v>25</v>
      </c>
    </row>
    <row r="5" spans="1:4" x14ac:dyDescent="0.25">
      <c r="A5" s="1"/>
      <c r="B5" s="1"/>
      <c r="C5" s="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AD839-44D7-4656-9A3B-7F51A9B05A9B}">
  <sheetPr codeName="Sheet11"/>
  <dimension ref="A1:G10"/>
  <sheetViews>
    <sheetView workbookViewId="0">
      <selection activeCell="G11" sqref="B10:G11"/>
    </sheetView>
  </sheetViews>
  <sheetFormatPr defaultRowHeight="15" x14ac:dyDescent="0.25"/>
  <cols>
    <col min="1" max="1" width="40.7109375" customWidth="1"/>
    <col min="2" max="4" width="20.7109375" customWidth="1"/>
    <col min="5" max="5" width="23.7109375" customWidth="1"/>
    <col min="6" max="6" width="19.42578125" customWidth="1"/>
    <col min="7" max="7" width="19.140625" bestFit="1" customWidth="1"/>
  </cols>
  <sheetData>
    <row r="1" spans="1:7" ht="39.950000000000003" customHeight="1" x14ac:dyDescent="0.25">
      <c r="A1" s="12"/>
      <c r="B1" s="30" t="s">
        <v>55</v>
      </c>
      <c r="C1" s="30"/>
      <c r="D1" s="28"/>
      <c r="E1" s="15" t="str">
        <f>HYPERLINK("#BasicInfo!ProfileNameA1","Back to Basic Info Tab")</f>
        <v>Back to Basic Info Tab</v>
      </c>
    </row>
    <row r="2" spans="1:7" ht="18.75" x14ac:dyDescent="0.3">
      <c r="A2" s="4"/>
      <c r="D2" s="3"/>
    </row>
    <row r="3" spans="1:7" ht="15.75" x14ac:dyDescent="0.25">
      <c r="A3" s="5" t="s">
        <v>41</v>
      </c>
      <c r="D3" s="3"/>
    </row>
    <row r="4" spans="1:7" x14ac:dyDescent="0.25">
      <c r="A4" t="s">
        <v>45</v>
      </c>
      <c r="B4" t="s">
        <v>26</v>
      </c>
      <c r="C4" t="s">
        <v>27</v>
      </c>
      <c r="D4" t="s">
        <v>28</v>
      </c>
      <c r="E4" t="s">
        <v>29</v>
      </c>
      <c r="F4" t="s">
        <v>30</v>
      </c>
      <c r="G4" t="s">
        <v>31</v>
      </c>
    </row>
    <row r="5" spans="1:7" x14ac:dyDescent="0.25">
      <c r="A5" s="1"/>
      <c r="B5" s="1"/>
      <c r="C5" s="1"/>
      <c r="D5" s="1"/>
      <c r="E5" s="1"/>
      <c r="F5" s="1"/>
      <c r="G5" s="1"/>
    </row>
    <row r="6" spans="1:7" x14ac:dyDescent="0.25">
      <c r="A6" s="1"/>
      <c r="B6" s="1"/>
      <c r="C6" s="1"/>
      <c r="D6" s="1"/>
      <c r="E6" s="1"/>
      <c r="F6" s="1"/>
      <c r="G6" s="1"/>
    </row>
    <row r="8" spans="1:7" ht="15.75" x14ac:dyDescent="0.25">
      <c r="A8" s="5" t="s">
        <v>42</v>
      </c>
    </row>
    <row r="9" spans="1:7" x14ac:dyDescent="0.25">
      <c r="A9" t="s">
        <v>45</v>
      </c>
      <c r="B9" t="s">
        <v>26</v>
      </c>
      <c r="C9" t="s">
        <v>27</v>
      </c>
      <c r="D9" t="s">
        <v>28</v>
      </c>
      <c r="E9" t="s">
        <v>29</v>
      </c>
      <c r="F9" t="s">
        <v>30</v>
      </c>
      <c r="G9" t="s">
        <v>31</v>
      </c>
    </row>
    <row r="10" spans="1:7" x14ac:dyDescent="0.25">
      <c r="A10" s="1"/>
    </row>
  </sheetData>
  <mergeCells count="1">
    <mergeCell ref="B1:D1"/>
  </mergeCells>
  <dataValidations count="1">
    <dataValidation type="list" allowBlank="1" showInputMessage="1" showErrorMessage="1" sqref="B5:G6 B10:G11" xr:uid="{AFAC31EE-2F8F-4461-B67F-342F203D4DFD}">
      <formula1>"TRUE,FALSE"</formula1>
    </dataValidation>
  </dataValidations>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3D1D5-ECBA-431C-B17E-D643D0AEF107}">
  <sheetPr codeName="Sheet12"/>
  <dimension ref="A1:D10"/>
  <sheetViews>
    <sheetView workbookViewId="0">
      <selection activeCell="B10" sqref="B10:B11"/>
    </sheetView>
  </sheetViews>
  <sheetFormatPr defaultRowHeight="15" x14ac:dyDescent="0.25"/>
  <cols>
    <col min="1" max="1" width="40.7109375" customWidth="1"/>
    <col min="2" max="3" width="20.7109375" customWidth="1"/>
    <col min="4" max="4" width="21.7109375" customWidth="1"/>
    <col min="5" max="5" width="23.42578125" customWidth="1"/>
  </cols>
  <sheetData>
    <row r="1" spans="1:4" ht="39.950000000000003" customHeight="1" x14ac:dyDescent="0.25">
      <c r="A1" s="12"/>
      <c r="B1" s="28" t="s">
        <v>53</v>
      </c>
      <c r="C1" s="28"/>
      <c r="D1" s="15" t="str">
        <f>HYPERLINK("#BasicInfo!ProfileNameA1","Back to Basic Info Tab")</f>
        <v>Back to Basic Info Tab</v>
      </c>
    </row>
    <row r="2" spans="1:4" ht="18.75" x14ac:dyDescent="0.3">
      <c r="A2" s="4"/>
      <c r="D2" s="3"/>
    </row>
    <row r="3" spans="1:4" ht="15.75" x14ac:dyDescent="0.25">
      <c r="A3" s="5" t="s">
        <v>41</v>
      </c>
      <c r="D3" s="3"/>
    </row>
    <row r="4" spans="1:4" x14ac:dyDescent="0.25">
      <c r="A4" t="s">
        <v>32</v>
      </c>
      <c r="B4" t="s">
        <v>2</v>
      </c>
    </row>
    <row r="5" spans="1:4" x14ac:dyDescent="0.25">
      <c r="A5" s="1"/>
    </row>
    <row r="6" spans="1:4" x14ac:dyDescent="0.25">
      <c r="A6" s="1"/>
    </row>
    <row r="8" spans="1:4" ht="15.75" x14ac:dyDescent="0.25">
      <c r="A8" s="5" t="s">
        <v>42</v>
      </c>
    </row>
    <row r="9" spans="1:4" x14ac:dyDescent="0.25">
      <c r="A9" t="s">
        <v>32</v>
      </c>
      <c r="B9" t="s">
        <v>2</v>
      </c>
    </row>
    <row r="10" spans="1:4" x14ac:dyDescent="0.25">
      <c r="A10" s="1"/>
    </row>
  </sheetData>
  <mergeCells count="1">
    <mergeCell ref="B1:C1"/>
  </mergeCells>
  <dataValidations count="1">
    <dataValidation type="list" allowBlank="1" showInputMessage="1" showErrorMessage="1" sqref="B5:B6 B10:B11" xr:uid="{52FF345B-3C1A-44B9-A848-DEF7C85245E7}">
      <formula1>"TRUE,FALSE"</formula1>
    </dataValidation>
  </dataValidations>
  <pageMargins left="0.7" right="0.7" top="0.75" bottom="0.75" header="0.3" footer="0.3"/>
  <tableParts count="2">
    <tablePart r:id="rId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D721E-D3B8-4EF2-B0F6-92AFFB6A9405}">
  <sheetPr codeName="Sheet13"/>
  <dimension ref="A1:E4"/>
  <sheetViews>
    <sheetView workbookViewId="0"/>
  </sheetViews>
  <sheetFormatPr defaultRowHeight="15" x14ac:dyDescent="0.25"/>
  <cols>
    <col min="1" max="1" width="40.7109375" customWidth="1"/>
    <col min="2" max="3" width="20.7109375" customWidth="1"/>
    <col min="4" max="4" width="14.7109375" bestFit="1" customWidth="1"/>
    <col min="5" max="5" width="9.5703125" bestFit="1" customWidth="1"/>
  </cols>
  <sheetData>
    <row r="1" spans="1:5" ht="39.950000000000003" customHeight="1" x14ac:dyDescent="0.25">
      <c r="A1" s="12"/>
      <c r="D1" s="15" t="str">
        <f>HYPERLINK("#BasicInfo!ProfileNameA1","Back to Basic Info Tab")</f>
        <v>Back to Basic Info Tab</v>
      </c>
    </row>
    <row r="2" spans="1:5" ht="18.75" x14ac:dyDescent="0.3">
      <c r="A2" s="4"/>
      <c r="D2" s="3"/>
    </row>
    <row r="3" spans="1:5" ht="15.75" x14ac:dyDescent="0.25">
      <c r="A3" s="5" t="s">
        <v>43</v>
      </c>
      <c r="D3" s="3"/>
    </row>
    <row r="4" spans="1:5" x14ac:dyDescent="0.25">
      <c r="A4" s="14" t="s">
        <v>6</v>
      </c>
      <c r="B4" s="14" t="s">
        <v>7</v>
      </c>
      <c r="C4" s="14" t="s">
        <v>8</v>
      </c>
      <c r="D4" s="14" t="s">
        <v>9</v>
      </c>
      <c r="E4" s="14" t="s">
        <v>10</v>
      </c>
    </row>
  </sheetData>
  <pageMargins left="0.7" right="0.7" top="0.75" bottom="0.75" header="0.3" footer="0.3"/>
  <pageSetup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0BB1F-55D8-48BD-880A-CD299A3BD17C}">
  <sheetPr codeName="Sheet14"/>
  <dimension ref="A1:D10"/>
  <sheetViews>
    <sheetView workbookViewId="0">
      <selection activeCell="B10" sqref="B10:B11"/>
    </sheetView>
  </sheetViews>
  <sheetFormatPr defaultRowHeight="15" x14ac:dyDescent="0.25"/>
  <cols>
    <col min="1" max="1" width="40.7109375" customWidth="1"/>
    <col min="2" max="3" width="20.7109375" customWidth="1"/>
    <col min="4" max="4" width="23.42578125" bestFit="1" customWidth="1"/>
    <col min="5" max="5" width="13.28515625" bestFit="1" customWidth="1"/>
    <col min="7" max="7" width="23.42578125" bestFit="1" customWidth="1"/>
  </cols>
  <sheetData>
    <row r="1" spans="1:4" ht="39.950000000000003" customHeight="1" x14ac:dyDescent="0.25">
      <c r="A1" s="12"/>
      <c r="B1" s="28" t="s">
        <v>56</v>
      </c>
      <c r="C1" s="28"/>
      <c r="D1" s="15" t="str">
        <f>HYPERLINK("#BasicInfo!ProfileNameA1","Back to Basic Info Tab")</f>
        <v>Back to Basic Info Tab</v>
      </c>
    </row>
    <row r="2" spans="1:4" ht="18.75" x14ac:dyDescent="0.3">
      <c r="A2" s="4"/>
      <c r="D2" s="3"/>
    </row>
    <row r="3" spans="1:4" ht="15.75" x14ac:dyDescent="0.25">
      <c r="A3" s="5" t="s">
        <v>41</v>
      </c>
      <c r="D3" s="3"/>
    </row>
    <row r="4" spans="1:4" x14ac:dyDescent="0.25">
      <c r="A4" t="s">
        <v>20</v>
      </c>
      <c r="B4" t="s">
        <v>1</v>
      </c>
      <c r="C4" t="s">
        <v>0</v>
      </c>
      <c r="D4" t="s">
        <v>33</v>
      </c>
    </row>
    <row r="5" spans="1:4" x14ac:dyDescent="0.25">
      <c r="A5" s="1"/>
    </row>
    <row r="6" spans="1:4" x14ac:dyDescent="0.25">
      <c r="A6" s="1"/>
    </row>
    <row r="8" spans="1:4" ht="15.75" x14ac:dyDescent="0.25">
      <c r="A8" s="5" t="s">
        <v>42</v>
      </c>
    </row>
    <row r="9" spans="1:4" x14ac:dyDescent="0.25">
      <c r="A9" t="s">
        <v>20</v>
      </c>
      <c r="B9" t="s">
        <v>1</v>
      </c>
    </row>
    <row r="10" spans="1:4" x14ac:dyDescent="0.25">
      <c r="A10" s="1"/>
    </row>
  </sheetData>
  <mergeCells count="1">
    <mergeCell ref="B1:C1"/>
  </mergeCells>
  <dataValidations count="1">
    <dataValidation type="list" allowBlank="1" showInputMessage="1" showErrorMessage="1" sqref="B5:D6 B10:B11" xr:uid="{7EDEFFE1-2A77-4034-9E53-A16547550564}">
      <formula1>"TRUE,FALSE"</formula1>
    </dataValidation>
  </dataValidations>
  <pageMargins left="0.7" right="0.7" top="0.75" bottom="0.75" header="0.3" footer="0.3"/>
  <tableParts count="2">
    <tablePart r:id="rId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B09FB-B403-4AC8-8731-72E32F44DBA2}">
  <sheetPr codeName="Sheet15"/>
  <dimension ref="A1:D10"/>
  <sheetViews>
    <sheetView tabSelected="1" workbookViewId="0">
      <selection activeCell="B10" sqref="B10"/>
    </sheetView>
  </sheetViews>
  <sheetFormatPr defaultRowHeight="15" x14ac:dyDescent="0.25"/>
  <cols>
    <col min="1" max="1" width="40.7109375" customWidth="1"/>
    <col min="2" max="3" width="20.7109375" customWidth="1"/>
    <col min="4" max="4" width="23.42578125" customWidth="1"/>
    <col min="17" max="17" width="11" customWidth="1"/>
  </cols>
  <sheetData>
    <row r="1" spans="1:4" ht="57" customHeight="1" x14ac:dyDescent="0.25">
      <c r="A1" s="12"/>
      <c r="B1" s="28" t="s">
        <v>74</v>
      </c>
      <c r="C1" s="28"/>
      <c r="D1" s="15" t="str">
        <f>HYPERLINK("#BasicInfo!ProfileNameA1","Back to Basic Info Tab")</f>
        <v>Back to Basic Info Tab</v>
      </c>
    </row>
    <row r="2" spans="1:4" ht="18.75" x14ac:dyDescent="0.3">
      <c r="A2" s="4"/>
      <c r="D2" s="3"/>
    </row>
    <row r="3" spans="1:4" ht="15.75" x14ac:dyDescent="0.25">
      <c r="A3" s="5" t="s">
        <v>41</v>
      </c>
      <c r="D3" s="3"/>
    </row>
    <row r="4" spans="1:4" x14ac:dyDescent="0.25">
      <c r="A4" t="s">
        <v>34</v>
      </c>
      <c r="B4" t="s">
        <v>11</v>
      </c>
    </row>
    <row r="5" spans="1:4" x14ac:dyDescent="0.25">
      <c r="A5" s="1"/>
      <c r="B5" s="1"/>
    </row>
    <row r="6" spans="1:4" x14ac:dyDescent="0.25">
      <c r="A6" s="1"/>
      <c r="B6" s="1"/>
    </row>
    <row r="8" spans="1:4" ht="15.75" x14ac:dyDescent="0.25">
      <c r="A8" s="5" t="s">
        <v>42</v>
      </c>
    </row>
    <row r="9" spans="1:4" x14ac:dyDescent="0.25">
      <c r="A9" t="s">
        <v>34</v>
      </c>
      <c r="B9" t="s">
        <v>11</v>
      </c>
    </row>
    <row r="10" spans="1:4" x14ac:dyDescent="0.25">
      <c r="A10" s="1"/>
      <c r="B10" s="1"/>
    </row>
  </sheetData>
  <mergeCells count="1">
    <mergeCell ref="B1:C1"/>
  </mergeCells>
  <dataValidations count="3">
    <dataValidation type="list" allowBlank="1" showInputMessage="1" showErrorMessage="1" sqref="B5:B6" xr:uid="{6E6F3D3A-D007-4BC5-AD78-776FBAD53719}">
      <formula1>"DefaultOn,DefaultOff,Hidden"</formula1>
    </dataValidation>
    <dataValidation type="list" allowBlank="1" showInputMessage="1" showErrorMessage="1" sqref="B11" xr:uid="{31126D8F-DE64-4B44-A287-8A001B46564B}">
      <formula1>"TRUE,FALSE"</formula1>
    </dataValidation>
    <dataValidation type="list" allowBlank="1" showInputMessage="1" showErrorMessage="1" sqref="B10" xr:uid="{F11494C2-2198-4C96-8803-4D5ED2496AED}">
      <formula1>"Available,Visible"</formula1>
    </dataValidation>
  </dataValidations>
  <pageMargins left="0.7" right="0.7" top="0.75" bottom="0.75" header="0.3" footer="0.3"/>
  <tableParts count="2">
    <tablePart r:id="rId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B2758-F06B-4CA5-BD9B-FDE9C8B49344}">
  <sheetPr codeName="Sheet16"/>
  <dimension ref="A1:D10"/>
  <sheetViews>
    <sheetView workbookViewId="0">
      <selection activeCell="A32" sqref="A32"/>
    </sheetView>
  </sheetViews>
  <sheetFormatPr defaultRowHeight="15" x14ac:dyDescent="0.25"/>
  <cols>
    <col min="1" max="1" width="40.7109375" customWidth="1"/>
    <col min="2" max="3" width="20.7109375" customWidth="1"/>
    <col min="4" max="4" width="26.7109375" customWidth="1"/>
  </cols>
  <sheetData>
    <row r="1" spans="1:4" ht="39.950000000000003" customHeight="1" x14ac:dyDescent="0.25">
      <c r="A1" s="12"/>
      <c r="B1" s="28" t="s">
        <v>53</v>
      </c>
      <c r="C1" s="28"/>
      <c r="D1" s="15" t="str">
        <f>HYPERLINK("#BasicInfo!ProfileNameA1","Back to Basic Info Tab")</f>
        <v>Back to Basic Info Tab</v>
      </c>
    </row>
    <row r="2" spans="1:4" ht="18.75" x14ac:dyDescent="0.3">
      <c r="A2" s="4"/>
      <c r="D2" s="3"/>
    </row>
    <row r="3" spans="1:4" ht="15.75" x14ac:dyDescent="0.25">
      <c r="A3" s="5" t="s">
        <v>41</v>
      </c>
      <c r="D3" s="3"/>
    </row>
    <row r="4" spans="1:4" x14ac:dyDescent="0.25">
      <c r="A4" t="s">
        <v>35</v>
      </c>
      <c r="B4" t="s">
        <v>2</v>
      </c>
    </row>
    <row r="5" spans="1:4" x14ac:dyDescent="0.25">
      <c r="A5" s="1"/>
    </row>
    <row r="6" spans="1:4" x14ac:dyDescent="0.25">
      <c r="A6" s="1"/>
    </row>
    <row r="7" spans="1:4" x14ac:dyDescent="0.25">
      <c r="A7" s="1"/>
    </row>
    <row r="8" spans="1:4" ht="15.75" x14ac:dyDescent="0.25">
      <c r="A8" s="5" t="s">
        <v>42</v>
      </c>
    </row>
    <row r="9" spans="1:4" x14ac:dyDescent="0.25">
      <c r="A9" t="s">
        <v>35</v>
      </c>
      <c r="B9" t="s">
        <v>2</v>
      </c>
    </row>
    <row r="10" spans="1:4" x14ac:dyDescent="0.25">
      <c r="A10" s="1"/>
    </row>
  </sheetData>
  <mergeCells count="1">
    <mergeCell ref="B1:C1"/>
  </mergeCells>
  <dataValidations count="1">
    <dataValidation type="list" allowBlank="1" showInputMessage="1" showErrorMessage="1" sqref="B5:B6 B10:B11" xr:uid="{68577DD5-2CAF-413D-9815-0C7563BC1581}">
      <formula1>"TRUE,FALSE"</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16</vt:i4>
      </vt:variant>
    </vt:vector>
  </HeadingPairs>
  <TitlesOfParts>
    <vt:vector size="33" baseType="lpstr">
      <vt:lpstr>Instructions</vt:lpstr>
      <vt:lpstr>BasicInfo</vt:lpstr>
      <vt:lpstr>ApplicationVisibility</vt:lpstr>
      <vt:lpstr>CategoryGroupVisibilities</vt:lpstr>
      <vt:lpstr>ApexClassAccess</vt:lpstr>
      <vt:lpstr>CustomPermissions</vt:lpstr>
      <vt:lpstr>ExternalDataSourceAccesses</vt:lpstr>
      <vt:lpstr>FieldPermissions</vt:lpstr>
      <vt:lpstr>LayoutAssignments</vt:lpstr>
      <vt:lpstr>LoginHours</vt:lpstr>
      <vt:lpstr>LoginIpRanges</vt:lpstr>
      <vt:lpstr>ObjectPermissions</vt:lpstr>
      <vt:lpstr>VfPageAccess</vt:lpstr>
      <vt:lpstr>ProfileActionOverrides</vt:lpstr>
      <vt:lpstr>RecordTypeVisibility</vt:lpstr>
      <vt:lpstr>TabVisibilities</vt:lpstr>
      <vt:lpstr>UserPermissions</vt:lpstr>
      <vt:lpstr>ApexClassA1</vt:lpstr>
      <vt:lpstr>AppVisA1</vt:lpstr>
      <vt:lpstr>CustPermsA1</vt:lpstr>
      <vt:lpstr>DataCatA1</vt:lpstr>
      <vt:lpstr>ExtDataSrcA1</vt:lpstr>
      <vt:lpstr>FieldPermsA1</vt:lpstr>
      <vt:lpstr>LayoutAssignsA1</vt:lpstr>
      <vt:lpstr>LoginHoursA1</vt:lpstr>
      <vt:lpstr>LoginIpRangesA1</vt:lpstr>
      <vt:lpstr>ObjectPermsA1</vt:lpstr>
      <vt:lpstr>ProfActionOverridesA1</vt:lpstr>
      <vt:lpstr>ProfileNameA1</vt:lpstr>
      <vt:lpstr>RecordTypeVisA1</vt:lpstr>
      <vt:lpstr>TabVisA1</vt:lpstr>
      <vt:lpstr>UserPermsA1</vt:lpstr>
      <vt:lpstr>VfPageAccessA1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admil</dc:creator>
  <cp:lastModifiedBy>admil</cp:lastModifiedBy>
  <dcterms:created xsi:type="dcterms:W3CDTF">2018-12-20T16:55:03Z</dcterms:created>
  <dcterms:modified xsi:type="dcterms:W3CDTF">2019-04-21T20:43:25Z</dcterms:modified>
</cp:coreProperties>
</file>