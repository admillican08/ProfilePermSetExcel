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SingleCells1.xml" ContentType="application/vnd.openxmlformats-officedocument.spreadsheetml.tableSingleCell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GitRepos\ProfilePermSetImportToExcel\"/>
    </mc:Choice>
  </mc:AlternateContent>
  <xr:revisionPtr revIDLastSave="0" documentId="10_ncr:100000_{AC4742A7-61CA-4F9D-9DD7-2FEE29390DFC}" xr6:coauthVersionLast="31" xr6:coauthVersionMax="31" xr10:uidLastSave="{00000000-0000-0000-0000-000000000000}"/>
  <bookViews>
    <workbookView xWindow="0" yWindow="0" windowWidth="24120" windowHeight="7185" activeTab="1" xr2:uid="{42147AC9-F308-49CF-9E67-84FECD98A1F7}"/>
  </bookViews>
  <sheets>
    <sheet name="Instructions" sheetId="17" r:id="rId1"/>
    <sheet name="BasicInfo" sheetId="3" r:id="rId2"/>
    <sheet name="ApplicationVisibility" sheetId="1" r:id="rId3"/>
    <sheet name="CategoryGroupVisibilities" sheetId="12" r:id="rId4"/>
    <sheet name="ApexClassAccess" sheetId="2" r:id="rId5"/>
    <sheet name="CustomPermissions" sheetId="13" r:id="rId6"/>
    <sheet name="ExternalDataSourceAccesses" sheetId="14" r:id="rId7"/>
    <sheet name="FieldPermissions" sheetId="4" r:id="rId8"/>
    <sheet name="LayoutAssignments" sheetId="6" r:id="rId9"/>
    <sheet name="LoginHours" sheetId="15" r:id="rId10"/>
    <sheet name="LoginIpRanges" sheetId="16" r:id="rId11"/>
    <sheet name="ObjectPermissions" sheetId="5" r:id="rId12"/>
    <sheet name="VfPageAccess" sheetId="7" r:id="rId13"/>
    <sheet name="ProfileActionOverrides" sheetId="8" r:id="rId14"/>
    <sheet name="RecordTypeVisibility" sheetId="9" r:id="rId15"/>
    <sheet name="TabVisibilities" sheetId="10" r:id="rId16"/>
    <sheet name="UserPermissions" sheetId="11" r:id="rId17"/>
  </sheets>
  <definedNames>
    <definedName name="_xlnm._FilterDatabase" localSheetId="1" hidden="1">BasicInfo!$A$9:$A$24</definedName>
    <definedName name="ApexClassA1">ApexClassAccess!$A$1</definedName>
    <definedName name="ApexClassAccessLink">BasicInfo!$A$12:$B$12</definedName>
    <definedName name="AppVisA1">ApplicationVisibility!$A$1</definedName>
    <definedName name="AppVisibilityLink">BasicInfo!$A$10:$B$10</definedName>
    <definedName name="CatGrpVisibilityLink">BasicInfo!$A$11:$C$11</definedName>
    <definedName name="CustomPermissionsLink">BasicInfo!$A$13:$B$13</definedName>
    <definedName name="CustPermsA1">CustomPermissions!$A$1</definedName>
    <definedName name="DataCatA1">CategoryGroupVisibilities!$A$1</definedName>
    <definedName name="ExtDataSrcA1">ExternalDataSourceAccesses!$A$1</definedName>
    <definedName name="ExtDataSrcAccessLink">BasicInfo!$A$14:$B$14</definedName>
    <definedName name="FieldPermsA1">FieldPermissions!$A$1</definedName>
    <definedName name="FldPermsLink">BasicInfo!$A$15:$B$15</definedName>
    <definedName name="LayoutAssgnmntLink">BasicInfo!$A$16:$B$16</definedName>
    <definedName name="LayoutAssignsA1">LayoutAssignments!$A$1</definedName>
    <definedName name="LoginHoursA1">LoginHours!$A$1</definedName>
    <definedName name="LoginHoursLink">BasicInfo!$A$17:$B$17</definedName>
    <definedName name="LoginIpRangesA1">LoginIpRanges!$A$1</definedName>
    <definedName name="LoginIpRngsLink">BasicInfo!$A$18:$B$18</definedName>
    <definedName name="ObjectPermsA1">ObjectPermissions!$A$1</definedName>
    <definedName name="ObjPermsLink">BasicInfo!$A$19:$B$19</definedName>
    <definedName name="PermSetMappedAppData">Table28[]</definedName>
    <definedName name="ProfActionOverridesA1">ProfileActionOverrides!$A$1</definedName>
    <definedName name="ProfActnOvrLnk">BasicInfo!$A$21:$B$21</definedName>
    <definedName name="ProfileAppMappedData">Table11[]</definedName>
    <definedName name="ProfileNameA1">BasicInfo!$A$1</definedName>
    <definedName name="RecordTypeVisA1">RecordTypeVisibility!$A$1</definedName>
    <definedName name="RecordTypeVisLink">BasicInfo!$A$22:$B$22</definedName>
    <definedName name="TabVisA1">TabVisibilities!$A$1</definedName>
    <definedName name="TabVisibLink">BasicInfo!$A$23:$B$23</definedName>
    <definedName name="UserPermLink">BasicInfo!$A$24:$B$24</definedName>
    <definedName name="UserPermsA1">UserPermissions!$A$1</definedName>
    <definedName name="VfPageAccessA1">VfPageAccess!$A$1</definedName>
    <definedName name="VgPgAccessLnk">BasicInfo!$A$20:$B$20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 i="11" l="1"/>
  <c r="D1" i="10"/>
  <c r="D1" i="9"/>
  <c r="D1" i="8"/>
  <c r="D1" i="7"/>
  <c r="E1" i="5"/>
  <c r="D1" i="16"/>
  <c r="D1" i="15"/>
  <c r="D1" i="6"/>
  <c r="D1" i="4"/>
  <c r="D1" i="14"/>
  <c r="D1" i="13"/>
  <c r="D1" i="2"/>
  <c r="D1" i="12"/>
  <c r="D1" i="1"/>
  <c r="B24" i="3" l="1"/>
  <c r="B23" i="3"/>
  <c r="B22" i="3"/>
  <c r="B21" i="3"/>
  <c r="B20" i="3"/>
  <c r="B19" i="3"/>
  <c r="B18" i="3"/>
  <c r="B17" i="3"/>
  <c r="B16" i="3"/>
  <c r="B15" i="3"/>
  <c r="B14" i="3"/>
  <c r="B13" i="3"/>
  <c r="B12" i="3"/>
  <c r="B11" i="3"/>
  <c r="B10"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0" background="1">
    <webPr xml="1" sourceData="1" url="C:\Users\admil\Documents\ExcelProjectFiles\ProfilesPermsImportExport\Excel_Profiles\Admin.profile.xml" htmlTables="1" htmlFormat="all"/>
  </connection>
</connections>
</file>

<file path=xl/sharedStrings.xml><?xml version="1.0" encoding="utf-8"?>
<sst xmlns="http://schemas.openxmlformats.org/spreadsheetml/2006/main" count="148" uniqueCount="74">
  <si>
    <t>default</t>
  </si>
  <si>
    <t>visible</t>
  </si>
  <si>
    <t>enabled</t>
  </si>
  <si>
    <t>editable</t>
  </si>
  <si>
    <t>readable</t>
  </si>
  <si>
    <t>IsCustomProfile</t>
  </si>
  <si>
    <t>actionName</t>
  </si>
  <si>
    <t>content</t>
  </si>
  <si>
    <t>formFactor</t>
  </si>
  <si>
    <t>pageOrS_Object</t>
  </si>
  <si>
    <t>type</t>
  </si>
  <si>
    <t>visibility</t>
  </si>
  <si>
    <t>userLicenseType</t>
  </si>
  <si>
    <t>Description</t>
  </si>
  <si>
    <t>Field</t>
  </si>
  <si>
    <t>External Data Source</t>
  </si>
  <si>
    <t>Custom Permission</t>
  </si>
  <si>
    <t>Apex Class</t>
  </si>
  <si>
    <t>Application</t>
  </si>
  <si>
    <t>Layout</t>
  </si>
  <si>
    <t>Record Type</t>
  </si>
  <si>
    <t>weekdayStart</t>
  </si>
  <si>
    <t>weekdayEnd</t>
  </si>
  <si>
    <t>description</t>
  </si>
  <si>
    <t>startAddress</t>
  </si>
  <si>
    <t>endAddress</t>
  </si>
  <si>
    <t>allowRead</t>
  </si>
  <si>
    <t>allowCreate</t>
  </si>
  <si>
    <t>allowEdit</t>
  </si>
  <si>
    <t>allowDelete</t>
  </si>
  <si>
    <t>viewAllRecords</t>
  </si>
  <si>
    <t>modifyAllRecords</t>
  </si>
  <si>
    <t>VisualForce Page</t>
  </si>
  <si>
    <t>personAccountDefault</t>
  </si>
  <si>
    <t>Tab</t>
  </si>
  <si>
    <t>User Permission</t>
  </si>
  <si>
    <t>For Profile</t>
  </si>
  <si>
    <t>For Permission Set</t>
  </si>
  <si>
    <t>Full Name</t>
  </si>
  <si>
    <t>n/a</t>
  </si>
  <si>
    <t>Information Tabs</t>
  </si>
  <si>
    <t>For Profiles</t>
  </si>
  <si>
    <t>For Permission Sets</t>
  </si>
  <si>
    <t>For Profiles Only</t>
  </si>
  <si>
    <t>Requires Activation</t>
  </si>
  <si>
    <t>Object Name</t>
  </si>
  <si>
    <t>Applies to Both</t>
  </si>
  <si>
    <t>Profiles Only</t>
  </si>
  <si>
    <t>Currently unmapped; see note on tab sheet</t>
  </si>
  <si>
    <r>
      <rPr>
        <b/>
        <u/>
        <sz val="11"/>
        <color theme="1"/>
        <rFont val="Palatino Linotype"/>
        <family val="1"/>
      </rPr>
      <t>Note</t>
    </r>
    <r>
      <rPr>
        <sz val="11"/>
        <color theme="1"/>
        <rFont val="Palatino Linotype"/>
        <family val="1"/>
      </rPr>
      <t>: You cannot export .profile or .permissionset metadata files from a workbook that was created with this element mapped. You can remove the mapped element by deleting the cells containing the mapping.</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</si>
  <si>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visible</t>
    </r>
    <r>
      <rPr>
        <sz val="10"/>
        <color theme="1"/>
        <rFont val="Calibri"/>
        <family val="2"/>
        <scheme val="minor"/>
      </rPr>
      <t xml:space="preserve"> and </t>
    </r>
    <r>
      <rPr>
        <b/>
        <sz val="10"/>
        <color theme="1"/>
        <rFont val="Calibri"/>
        <family val="2"/>
        <scheme val="minor"/>
      </rPr>
      <t>default</t>
    </r>
    <r>
      <rPr>
        <sz val="10"/>
        <color theme="1"/>
        <rFont val="Calibri"/>
        <family val="2"/>
        <scheme val="minor"/>
      </rPr>
      <t xml:space="preserve"> columns 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</si>
  <si>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enabled</t>
    </r>
    <r>
      <rPr>
        <sz val="10"/>
        <color theme="1"/>
        <rFont val="Calibri"/>
        <family val="2"/>
        <scheme val="minor"/>
      </rPr>
      <t xml:space="preserve"> column</t>
    </r>
    <r>
      <rPr>
        <b/>
        <sz val="10"/>
        <color theme="1"/>
        <rFont val="Calibri"/>
        <family val="2"/>
        <scheme val="minor"/>
      </rPr>
      <t xml:space="preserve"> </t>
    </r>
    <r>
      <rPr>
        <sz val="10"/>
        <color theme="1"/>
        <rFont val="Calibri"/>
        <family val="2"/>
        <scheme val="minor"/>
      </rPr>
      <t>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</si>
  <si>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readable</t>
    </r>
    <r>
      <rPr>
        <sz val="10"/>
        <color theme="1"/>
        <rFont val="Calibri"/>
        <family val="2"/>
        <scheme val="minor"/>
      </rPr>
      <t xml:space="preserve"> and </t>
    </r>
    <r>
      <rPr>
        <b/>
        <sz val="10"/>
        <color theme="1"/>
        <rFont val="Calibri"/>
        <family val="2"/>
        <scheme val="minor"/>
      </rPr>
      <t>editable</t>
    </r>
    <r>
      <rPr>
        <sz val="10"/>
        <color theme="1"/>
        <rFont val="Calibri"/>
        <family val="2"/>
        <scheme val="minor"/>
      </rPr>
      <t xml:space="preserve"> columns 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</si>
  <si>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allowRead</t>
    </r>
    <r>
      <rPr>
        <sz val="10"/>
        <color theme="1"/>
        <rFont val="Calibri"/>
        <family val="2"/>
        <scheme val="minor"/>
      </rPr>
      <t xml:space="preserve">, </t>
    </r>
    <r>
      <rPr>
        <b/>
        <sz val="10"/>
        <color theme="1"/>
        <rFont val="Calibri"/>
        <family val="2"/>
        <scheme val="minor"/>
      </rPr>
      <t>allowCreate</t>
    </r>
    <r>
      <rPr>
        <sz val="10"/>
        <color theme="1"/>
        <rFont val="Calibri"/>
        <family val="2"/>
        <scheme val="minor"/>
      </rPr>
      <t xml:space="preserve">, </t>
    </r>
    <r>
      <rPr>
        <b/>
        <sz val="10"/>
        <color theme="1"/>
        <rFont val="Calibri"/>
        <family val="2"/>
        <scheme val="minor"/>
      </rPr>
      <t>allowEdit</t>
    </r>
    <r>
      <rPr>
        <sz val="10"/>
        <color theme="1"/>
        <rFont val="Calibri"/>
        <family val="2"/>
        <scheme val="minor"/>
      </rPr>
      <t xml:space="preserve">, </t>
    </r>
    <r>
      <rPr>
        <b/>
        <sz val="10"/>
        <color theme="1"/>
        <rFont val="Calibri"/>
        <family val="2"/>
        <scheme val="minor"/>
      </rPr>
      <t>allowDelete</t>
    </r>
    <r>
      <rPr>
        <sz val="10"/>
        <color theme="1"/>
        <rFont val="Calibri"/>
        <family val="2"/>
        <scheme val="minor"/>
      </rPr>
      <t xml:space="preserve">, </t>
    </r>
    <r>
      <rPr>
        <b/>
        <sz val="10"/>
        <color theme="1"/>
        <rFont val="Calibri"/>
        <family val="2"/>
        <scheme val="minor"/>
      </rPr>
      <t>viewAllRecords</t>
    </r>
    <r>
      <rPr>
        <sz val="10"/>
        <color theme="1"/>
        <rFont val="Calibri"/>
        <family val="2"/>
        <scheme val="minor"/>
      </rPr>
      <t xml:space="preserve">, and </t>
    </r>
    <r>
      <rPr>
        <b/>
        <sz val="10"/>
        <color theme="1"/>
        <rFont val="Calibri"/>
        <family val="2"/>
        <scheme val="minor"/>
      </rPr>
      <t>modifyAllRecords</t>
    </r>
    <r>
      <rPr>
        <sz val="10"/>
        <color theme="1"/>
        <rFont val="Calibri"/>
        <family val="2"/>
        <scheme val="minor"/>
      </rPr>
      <t xml:space="preserve"> columns</t>
    </r>
    <r>
      <rPr>
        <b/>
        <sz val="10"/>
        <color theme="1"/>
        <rFont val="Calibri"/>
        <family val="2"/>
        <scheme val="minor"/>
      </rPr>
      <t xml:space="preserve"> </t>
    </r>
    <r>
      <rPr>
        <sz val="10"/>
        <color theme="1"/>
        <rFont val="Calibri"/>
        <family val="2"/>
        <scheme val="minor"/>
      </rPr>
      <t>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</si>
  <si>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visible</t>
    </r>
    <r>
      <rPr>
        <sz val="10"/>
        <color theme="1"/>
        <rFont val="Calibri"/>
        <family val="2"/>
        <scheme val="minor"/>
      </rPr>
      <t xml:space="preserve">, </t>
    </r>
    <r>
      <rPr>
        <b/>
        <sz val="10"/>
        <color theme="1"/>
        <rFont val="Calibri"/>
        <family val="2"/>
        <scheme val="minor"/>
      </rPr>
      <t>default</t>
    </r>
    <r>
      <rPr>
        <sz val="10"/>
        <color theme="1"/>
        <rFont val="Calibri"/>
        <family val="2"/>
        <scheme val="minor"/>
      </rPr>
      <t xml:space="preserve">, and </t>
    </r>
    <r>
      <rPr>
        <b/>
        <sz val="10"/>
        <color theme="1"/>
        <rFont val="Calibri"/>
        <family val="2"/>
        <scheme val="minor"/>
      </rPr>
      <t xml:space="preserve">personAccountDefault </t>
    </r>
    <r>
      <rPr>
        <sz val="10"/>
        <color theme="1"/>
        <rFont val="Calibri"/>
        <family val="2"/>
        <scheme val="minor"/>
      </rPr>
      <t>columns</t>
    </r>
    <r>
      <rPr>
        <b/>
        <sz val="10"/>
        <color theme="1"/>
        <rFont val="Calibri"/>
        <family val="2"/>
        <scheme val="minor"/>
      </rPr>
      <t xml:space="preserve"> </t>
    </r>
    <r>
      <rPr>
        <sz val="10"/>
        <color theme="1"/>
        <rFont val="Calibri"/>
        <family val="2"/>
        <scheme val="minor"/>
      </rPr>
      <t>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</si>
  <si>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 xml:space="preserve">visibility </t>
    </r>
    <r>
      <rPr>
        <sz val="10"/>
        <color theme="1"/>
        <rFont val="Calibri"/>
        <family val="2"/>
        <scheme val="minor"/>
      </rPr>
      <t>column</t>
    </r>
    <r>
      <rPr>
        <b/>
        <sz val="10"/>
        <color theme="1"/>
        <rFont val="Calibri"/>
        <family val="2"/>
        <scheme val="minor"/>
      </rPr>
      <t xml:space="preserve"> </t>
    </r>
    <r>
      <rPr>
        <sz val="10"/>
        <color theme="1"/>
        <rFont val="Calibri"/>
        <family val="2"/>
        <scheme val="minor"/>
      </rPr>
      <t>are "DefaultOn", "DefaultOff", and "Hidden"</t>
    </r>
  </si>
  <si>
    <t>Developed by Adrienne D. Millican for free use</t>
  </si>
  <si>
    <r>
      <t xml:space="preserve">1. Open a new, empty workbook in Excel.
2. From the Excel </t>
    </r>
    <r>
      <rPr>
        <b/>
        <sz val="11"/>
        <color theme="1"/>
        <rFont val="Palatino Linotype"/>
        <family val="1"/>
      </rPr>
      <t>Developer</t>
    </r>
    <r>
      <rPr>
        <sz val="11"/>
        <color theme="1"/>
        <rFont val="Palatino Linotype"/>
        <family val="1"/>
      </rPr>
      <t xml:space="preserve"> tab, select the </t>
    </r>
    <r>
      <rPr>
        <b/>
        <sz val="11"/>
        <color theme="1"/>
        <rFont val="Palatino Linotype"/>
        <family val="1"/>
      </rPr>
      <t>Visual Basic</t>
    </r>
    <r>
      <rPr>
        <sz val="11"/>
        <color theme="1"/>
        <rFont val="Palatino Linotype"/>
        <family val="1"/>
      </rPr>
      <t xml:space="preserve"> icon to open the VBA Editor.
3. Select the new Excel workbook's name--typically it will be VBAProject(Book#) in the Project editor window, right click and select </t>
    </r>
    <r>
      <rPr>
        <b/>
        <sz val="11"/>
        <color theme="1"/>
        <rFont val="Palatino Linotype"/>
        <family val="1"/>
      </rPr>
      <t>Import File</t>
    </r>
    <r>
      <rPr>
        <sz val="11"/>
        <color theme="1"/>
        <rFont val="Palatino Linotype"/>
        <family val="1"/>
      </rPr>
      <t xml:space="preserve">.
4. Select the .bas file. Repeat and this time import the .frm file. 
5. Select </t>
    </r>
    <r>
      <rPr>
        <b/>
        <sz val="11"/>
        <color theme="1"/>
        <rFont val="Palatino Linotype"/>
        <family val="1"/>
      </rPr>
      <t>Tools &gt; References</t>
    </r>
    <r>
      <rPr>
        <sz val="11"/>
        <color theme="1"/>
        <rFont val="Palatino Linotype"/>
        <family val="1"/>
      </rPr>
      <t xml:space="preserve">, and find and check </t>
    </r>
    <r>
      <rPr>
        <b/>
        <sz val="11"/>
        <color theme="1"/>
        <rFont val="Palatino Linotype"/>
        <family val="1"/>
      </rPr>
      <t>Microsoft Scripting Runtime</t>
    </r>
    <r>
      <rPr>
        <sz val="11"/>
        <color theme="1"/>
        <rFont val="Palatino Linotype"/>
        <family val="1"/>
      </rPr>
      <t xml:space="preserve"> (leave other checked checkboxes as-is).
6. Select </t>
    </r>
    <r>
      <rPr>
        <b/>
        <sz val="11"/>
        <color theme="1"/>
        <rFont val="Palatino Linotype"/>
        <family val="1"/>
      </rPr>
      <t xml:space="preserve">File &gt; Close and Return to Microsoft Excel
</t>
    </r>
    <r>
      <rPr>
        <sz val="11"/>
        <color theme="1"/>
        <rFont val="Palatino Linotype"/>
        <family val="1"/>
      </rPr>
      <t>7. Save the open Excel workbook as either a macro-enabled workbook (*.xlsm) or a macro-enabled template (.xlst).</t>
    </r>
  </si>
  <si>
    <t xml:space="preserve">Re-creating the Template:  </t>
  </si>
  <si>
    <r>
      <t xml:space="preserve">From the main menu, select </t>
    </r>
    <r>
      <rPr>
        <b/>
        <sz val="11"/>
        <color theme="1"/>
        <rFont val="Palatino Linotype"/>
        <family val="1"/>
      </rPr>
      <t>File &gt; Options</t>
    </r>
    <r>
      <rPr>
        <sz val="11"/>
        <color theme="1"/>
        <rFont val="Palatino Linotype"/>
        <family val="1"/>
      </rPr>
      <t xml:space="preserve"> to open the </t>
    </r>
    <r>
      <rPr>
        <b/>
        <sz val="11"/>
        <color theme="1"/>
        <rFont val="Palatino Linotype"/>
        <family val="1"/>
      </rPr>
      <t>Excel Options</t>
    </r>
    <r>
      <rPr>
        <sz val="11"/>
        <color theme="1"/>
        <rFont val="Palatino Linotype"/>
        <family val="1"/>
      </rPr>
      <t xml:space="preserve"> dialog box. Select </t>
    </r>
    <r>
      <rPr>
        <b/>
        <sz val="11"/>
        <color theme="1"/>
        <rFont val="Palatino Linotype"/>
        <family val="1"/>
      </rPr>
      <t>Customize Ribbon</t>
    </r>
    <r>
      <rPr>
        <sz val="11"/>
        <color theme="1"/>
        <rFont val="Palatino Linotype"/>
        <family val="1"/>
      </rPr>
      <t xml:space="preserve">. Select </t>
    </r>
    <r>
      <rPr>
        <b/>
        <sz val="11"/>
        <color theme="1"/>
        <rFont val="Palatino Linotype"/>
        <family val="1"/>
      </rPr>
      <t>Main Tabs</t>
    </r>
    <r>
      <rPr>
        <sz val="11"/>
        <color theme="1"/>
        <rFont val="Palatino Linotype"/>
        <family val="1"/>
      </rPr>
      <t xml:space="preserve"> from the right drop-down menu, and select the </t>
    </r>
    <r>
      <rPr>
        <b/>
        <sz val="11"/>
        <color theme="1"/>
        <rFont val="Palatino Linotype"/>
        <family val="1"/>
      </rPr>
      <t>Developer</t>
    </r>
    <r>
      <rPr>
        <sz val="11"/>
        <color theme="1"/>
        <rFont val="Palatino Linotype"/>
        <family val="1"/>
      </rPr>
      <t xml:space="preserve"> check box.</t>
    </r>
  </si>
  <si>
    <t xml:space="preserve">Showing the Microsoft Excel Developer Tab:  </t>
  </si>
  <si>
    <r>
      <t xml:space="preserve">Depending on your Excel and PC security settings, you may have to click a button to allow the macros in this template to run. If your security settings are strict enough, you may not be able to run macros from an outside party at all. You may be able to change them by displaying the Excel </t>
    </r>
    <r>
      <rPr>
        <b/>
        <sz val="11"/>
        <color theme="1"/>
        <rFont val="Palatino Linotype"/>
        <family val="1"/>
      </rPr>
      <t>Developer</t>
    </r>
    <r>
      <rPr>
        <sz val="11"/>
        <color theme="1"/>
        <rFont val="Palatino Linotype"/>
        <family val="1"/>
      </rPr>
      <t xml:space="preserve"> tab if it is not already visible, then selecting </t>
    </r>
    <r>
      <rPr>
        <b/>
        <sz val="11"/>
        <color theme="1"/>
        <rFont val="Palatino Linotype"/>
        <family val="1"/>
      </rPr>
      <t>Macro Security</t>
    </r>
    <r>
      <rPr>
        <sz val="11"/>
        <color theme="1"/>
        <rFont val="Palatino Linotype"/>
        <family val="1"/>
      </rPr>
      <t>, and changing the macro settings to "Disable all macros with notification", which still typically gives the option to enable macros by clicking a button.</t>
    </r>
  </si>
  <si>
    <t xml:space="preserve">Macro Security Issues:  </t>
  </si>
  <si>
    <t>Salesforce Metadata API Version 23 or later, Microsoft Excel version 2007 or later (any version using .xlsx)</t>
  </si>
  <si>
    <t xml:space="preserve">Required Versions of Applications:  </t>
  </si>
  <si>
    <t>Use the ProfilePermSetImportWkbk.xlsm Macro-Enabled Microsoft Excel workbook to import data from Salesforce Profiles and Permission Sets to view it in a human-friendly way. This allows you to view, filter, and compare the data in a much easier way than the Salesforce UI provides. While there are many handy browser extensions that allow you to compare profiles and permission sets, there are, to my knowledge, no free tools that allow you to reports with actual data that can be manipulated and compared...until now!</t>
  </si>
  <si>
    <t>If you are unable to run macros from this template because it originates from an outside source, then you should be able to re-create your own version of this template on your own PC in Excel using the two exported VBA text files included with this project:
* ChooseSfdcMacroForm.frm
* ImportExportSfdcMetadata.bas</t>
  </si>
  <si>
    <t xml:space="preserve">Files Included:  </t>
  </si>
  <si>
    <t>Data Category Group</t>
  </si>
  <si>
    <t xml:space="preserve">What This Workbook Lets You Do:  </t>
  </si>
  <si>
    <t>This template helps to make Salesforce profile and permission set data easier to work with. It has mappings and macros to pull in XML data from Salesforce profile and permission set metadata component files. 
The files it acts on are Salesforce metadata component files have been previously retrieved from Salesforce using tools such as the Ant Migration Tool .jar, the Eclipse Force.com IDE plugin, or the Visual Studio Code Salesforce extension pack. The file extensions of these XML files should be .profile, .permissionset, .profile--meta.xml, or .permissionset-meta.xml.
Please note this Excel workbook does not connect directly with Salesforce in any way. Either you or a friendly Salesforce Administrator or Developer for your org must have already retrieved the profile or permission set files from Salesforce prior to using this macro-enabled workbook.
If you're skilled with handling Salesforce metadata and XML, you may be able to make changes in the Excel workbooks and export the XML data to then deploy to your Salesforce org. Note that you must change the namespace back to "http://soap.sforce.com/2006/04/metadata" on any exported metadata file. It is suggested that you do further examination and validation of any metadata files you wish to deploy to your org prior to attempting deployment. Be warned that Salesforce is finicky about its XML. I have had success changing field settings using exported metadata from Excel, but not user permissions. Look for export functionality in a later release....</t>
  </si>
  <si>
    <r>
      <t xml:space="preserve">* The macro-enabled Excel workbook </t>
    </r>
    <r>
      <rPr>
        <b/>
        <sz val="11"/>
        <color theme="1"/>
        <rFont val="Palatino Linotype"/>
        <family val="1"/>
      </rPr>
      <t>ProfilePermSetImportWkbk.xlsm</t>
    </r>
    <r>
      <rPr>
        <sz val="11"/>
        <color theme="1"/>
        <rFont val="Palatino Linotype"/>
        <family val="1"/>
      </rPr>
      <t xml:space="preserve">
* </t>
    </r>
    <r>
      <rPr>
        <b/>
        <sz val="11"/>
        <color theme="1"/>
        <rFont val="Palatino Linotype"/>
        <family val="1"/>
      </rPr>
      <t>Profiles.xsd</t>
    </r>
    <r>
      <rPr>
        <sz val="11"/>
        <color theme="1"/>
        <rFont val="Palatino Linotype"/>
        <family val="1"/>
      </rPr>
      <t xml:space="preserve"> (the Salesforce Profile Schema file) -- required for Profiles
* </t>
    </r>
    <r>
      <rPr>
        <b/>
        <sz val="11"/>
        <color theme="1"/>
        <rFont val="Palatino Linotype"/>
        <family val="1"/>
      </rPr>
      <t>PermissionSet.xsd</t>
    </r>
    <r>
      <rPr>
        <sz val="11"/>
        <color theme="1"/>
        <rFont val="Palatino Linotype"/>
        <family val="1"/>
      </rPr>
      <t xml:space="preserve"> (the Salesforce Permission Set Schema file) -- required for Permission Sets
* </t>
    </r>
    <r>
      <rPr>
        <b/>
        <sz val="11"/>
        <color theme="1"/>
        <rFont val="Palatino Linotype"/>
        <family val="1"/>
      </rPr>
      <t>ImportSfdcMetadata.bas</t>
    </r>
    <r>
      <rPr>
        <sz val="11"/>
        <color theme="1"/>
        <rFont val="Palatino Linotype"/>
        <family val="1"/>
      </rPr>
      <t xml:space="preserve">
* </t>
    </r>
    <r>
      <rPr>
        <b/>
        <sz val="11"/>
        <color theme="1"/>
        <rFont val="Palatino Linotype"/>
        <family val="1"/>
      </rPr>
      <t>ChooseSfdcMacroForm.frm</t>
    </r>
    <r>
      <rPr>
        <sz val="11"/>
        <color theme="1"/>
        <rFont val="Palatino Linotype"/>
        <family val="1"/>
      </rPr>
      <t xml:space="preserve">
* </t>
    </r>
    <r>
      <rPr>
        <b/>
        <sz val="11"/>
        <color theme="1"/>
        <rFont val="Palatino Linotype"/>
        <family val="1"/>
      </rPr>
      <t>ChooseSfdcMacroForm.frx</t>
    </r>
    <r>
      <rPr>
        <sz val="11"/>
        <color theme="1"/>
        <rFont val="Palatino Linotype"/>
        <family val="1"/>
      </rPr>
      <t xml:space="preserve">
* some sample </t>
    </r>
    <r>
      <rPr>
        <b/>
        <sz val="11"/>
        <color theme="1"/>
        <rFont val="Palatino Linotype"/>
        <family val="1"/>
      </rPr>
      <t>.profile</t>
    </r>
    <r>
      <rPr>
        <sz val="11"/>
        <color theme="1"/>
        <rFont val="Palatino Linotype"/>
        <family val="1"/>
      </rPr>
      <t xml:space="preserve"> and </t>
    </r>
    <r>
      <rPr>
        <b/>
        <sz val="11"/>
        <color theme="1"/>
        <rFont val="Palatino Linotype"/>
        <family val="1"/>
      </rPr>
      <t>.permissionset</t>
    </r>
    <r>
      <rPr>
        <sz val="11"/>
        <color theme="1"/>
        <rFont val="Palatino Linotype"/>
        <family val="1"/>
      </rPr>
      <t xml:space="preserve"> files to try out.
* a sample </t>
    </r>
    <r>
      <rPr>
        <b/>
        <sz val="11"/>
        <color theme="1"/>
        <rFont val="Palatino Linotype"/>
        <family val="1"/>
      </rPr>
      <t>package.xml</t>
    </r>
    <r>
      <rPr>
        <sz val="11"/>
        <color theme="1"/>
        <rFont val="Palatino Linotype"/>
        <family val="1"/>
      </rPr>
      <t xml:space="preserve"> manifest to retrieve all profiles and permission sets from an org
</t>
    </r>
  </si>
  <si>
    <t xml:space="preserve">OK, So How Do I Use This Thing?  </t>
  </si>
  <si>
    <r>
      <t xml:space="preserve">1) Make sure you have your .xsd files and some .profiles or .permissionsets handy on your PC.
2) Open the </t>
    </r>
    <r>
      <rPr>
        <b/>
        <sz val="11"/>
        <color theme="1"/>
        <rFont val="Palatino Linotype"/>
        <family val="1"/>
      </rPr>
      <t>ProfilePermSetImportWkbk.xlsm</t>
    </r>
    <r>
      <rPr>
        <sz val="11"/>
        <color theme="1"/>
        <rFont val="Palatino Linotype"/>
        <family val="1"/>
      </rPr>
      <t xml:space="preserve"> in Microsoft Excel version 2007 or later.
3) Press </t>
    </r>
    <r>
      <rPr>
        <b/>
        <sz val="11"/>
        <color theme="1"/>
        <rFont val="Palatino Linotype"/>
        <family val="1"/>
      </rPr>
      <t>Ctrl + Shift + U</t>
    </r>
    <r>
      <rPr>
        <sz val="11"/>
        <color theme="1"/>
        <rFont val="Palatino Linotype"/>
        <family val="1"/>
      </rPr>
      <t xml:space="preserve">. A Macro Selection Form should display.
3) The rest is hopefully self-explanatory.
If, for some reason, they keystroke </t>
    </r>
    <r>
      <rPr>
        <b/>
        <sz val="11"/>
        <color theme="1"/>
        <rFont val="Palatino Linotype"/>
        <family val="1"/>
      </rPr>
      <t>Ctrl + Shift + U</t>
    </r>
    <r>
      <rPr>
        <sz val="11"/>
        <color theme="1"/>
        <rFont val="Palatino Linotype"/>
        <family val="1"/>
      </rPr>
      <t xml:space="preserve"> fails to work, display the </t>
    </r>
    <r>
      <rPr>
        <b/>
        <sz val="11"/>
        <color theme="1"/>
        <rFont val="Palatino Linotype"/>
        <family val="1"/>
      </rPr>
      <t>Developer</t>
    </r>
    <r>
      <rPr>
        <sz val="11"/>
        <color theme="1"/>
        <rFont val="Palatino Linotype"/>
        <family val="1"/>
      </rPr>
      <t xml:space="preserve"> tab in Excel if it is not already displayed, select Macros, and run the </t>
    </r>
    <r>
      <rPr>
        <b/>
        <sz val="11"/>
        <color theme="1"/>
        <rFont val="Palatino Linotype"/>
        <family val="1"/>
      </rPr>
      <t>DisplaySfdcUserForm</t>
    </r>
    <r>
      <rPr>
        <sz val="11"/>
        <color theme="1"/>
        <rFont val="Palatino Linotype"/>
        <family val="1"/>
      </rPr>
      <t xml:space="preserve"> macro. You can also use the Macros dialog to assign a different keystroke to run the </t>
    </r>
    <r>
      <rPr>
        <b/>
        <sz val="11"/>
        <color theme="1"/>
        <rFont val="Palatino Linotype"/>
        <family val="1"/>
      </rPr>
      <t>DisplaySfdcUserForm</t>
    </r>
    <r>
      <rPr>
        <sz val="11"/>
        <color theme="1"/>
        <rFont val="Palatino Linotype"/>
        <family val="1"/>
      </rPr>
      <t xml:space="preserve"> macro if you wish.</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</si>
</sst>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theme="1"/>
      <name val="Calibri"/>
      <family val="2"/>
      <scheme val="minor"/>
    </font>
    <font>
      <u/>
      <sz val="11"/>
      <color theme="10"/>
      <name val="Calibri"/>
      <family val="2"/>
      <scheme val="minor"/>
    </font>
    <font>
      <b/>
      <sz val="14"/>
      <color theme="1"/>
      <name val="Calibri"/>
      <family val="2"/>
      <scheme val="minor"/>
    </font>
    <font>
      <b/>
      <sz val="12"/>
      <color theme="1"/>
      <name val="Calibri"/>
      <family val="2"/>
      <scheme val="minor"/>
    </font>
    <font>
      <b/>
      <sz val="11"/>
      <color theme="1"/>
      <name val="Palatino Linotype"/>
      <family val="1"/>
    </font>
    <font>
      <sz val="11"/>
      <color theme="1"/>
      <name val="Palatino Linotype"/>
      <family val="1"/>
    </font>
    <font>
      <b/>
      <u/>
      <sz val="11"/>
      <color theme="1"/>
      <name val="Palatino Linotype"/>
      <family val="1"/>
    </font>
    <font>
      <b/>
      <sz val="11"/>
      <color theme="0"/>
      <name val="Calibri"/>
      <family val="2"/>
      <scheme val="minor"/>
    </font>
    <font>
      <sz val="12"/>
      <color theme="1"/>
      <name val="Calibri"/>
      <family val="2"/>
      <scheme val="minor"/>
    </font>
    <font>
      <sz val="10"/>
      <color theme="1"/>
      <name val="Calibri"/>
      <family val="2"/>
      <scheme val="minor"/>
    </font>
    <font>
      <b/>
      <u/>
      <sz val="10"/>
      <color theme="1"/>
      <name val="Calibri"/>
      <family val="2"/>
      <scheme val="minor"/>
    </font>
    <font>
      <b/>
      <sz val="10"/>
      <color theme="1"/>
      <name val="Calibri"/>
      <family val="2"/>
      <scheme val="minor"/>
    </font>
    <font>
      <b/>
      <sz val="12"/>
      <color theme="1"/>
      <name val="Calibri"/>
      <family val="2"/>
    </font>
    <font>
      <sz val="12"/>
      <color theme="1"/>
      <name val="Palatino Linotype"/>
      <family val="1"/>
    </font>
  </fonts>
  <fills count="3">
    <fill>
      <patternFill patternType="none"/>
    </fill>
    <fill>
      <patternFill patternType="gray125"/>
    </fill>
    <fill>
      <patternFill patternType="solid">
        <fgColor theme="4"/>
        <bgColor indexed="64"/>
      </patternFill>
    </fill>
  </fills>
  <borders count="2">
    <border>
      <left/>
      <right/>
      <top/>
      <bottom/>
      <diagonal/>
    </border>
    <border>
      <left/>
      <right/>
      <top style="thick">
        <color indexed="64"/>
      </top>
      <bottom/>
      <diagonal/>
    </border>
  </borders>
  <cellStyleXfs count="2">
    <xf numFmtId="0" fontId="0" fillId="0" borderId="0"/>
    <xf numFmtId="0" fontId="2" fillId="0" borderId="0" applyNumberFormat="0" applyFill="0" applyBorder="0" applyAlignment="0" applyProtection="0"/>
  </cellStyleXfs>
  <cellXfs count="29">
    <xf numFmtId="0" fontId="0" fillId="0" borderId="0" xfId="0"/>
    <xf numFmtId="49" fontId="0" fillId="0" borderId="0" xfId="0" applyNumberFormat="1"/>
    <xf numFmtId="0" fontId="1" fillId="0" borderId="0" xfId="0" applyFont="1"/>
    <xf numFmtId="0" fontId="2" fillId="0" borderId="0" xfId="1"/>
    <xf numFmtId="0" fontId="3" fillId="0" borderId="0" xfId="0" applyFont="1"/>
    <xf numFmtId="0" fontId="4" fillId="0" borderId="0" xfId="0" applyFont="1"/>
    <xf numFmtId="0" fontId="0" fillId="0" borderId="0" xfId="0" applyFont="1"/>
    <xf numFmtId="0" fontId="4" fillId="0" borderId="1" xfId="0" applyFont="1" applyBorder="1"/>
    <xf numFmtId="49" fontId="0" fillId="0" borderId="1" xfId="0" applyNumberFormat="1" applyBorder="1"/>
    <xf numFmtId="0" fontId="0" fillId="0" borderId="1" xfId="0" applyBorder="1"/>
    <xf numFmtId="0" fontId="0" fillId="0" borderId="0" xfId="0" applyAlignment="1">
      <alignment vertical="center"/>
    </xf>
    <xf numFmtId="0" fontId="3" fillId="0" borderId="0" xfId="0" applyFont="1" applyAlignment="1">
      <alignment horizontal="center"/>
    </xf>
    <xf numFmtId="0" fontId="9" fillId="0" borderId="0" xfId="0" applyFont="1" applyAlignment="1">
      <alignment vertical="center" shrinkToFit="1"/>
    </xf>
    <xf numFmtId="0" fontId="3" fillId="0" borderId="0" xfId="0" applyFont="1" applyAlignment="1">
      <alignment vertical="center" wrapText="1"/>
    </xf>
    <xf numFmtId="0" fontId="8" fillId="2" borderId="0" xfId="0" applyFont="1" applyFill="1"/>
    <xf numFmtId="0" fontId="2" fillId="0" borderId="0" xfId="1" applyAlignment="1">
      <alignment horizontal="center"/>
    </xf>
    <xf numFmtId="49" fontId="0" fillId="0" borderId="0" xfId="0" applyNumberFormat="1" applyAlignment="1">
      <alignment wrapText="1"/>
    </xf>
    <xf numFmtId="49" fontId="1" fillId="0" borderId="0" xfId="0" applyNumberFormat="1" applyFont="1" applyAlignment="1">
      <alignment wrapText="1"/>
    </xf>
    <xf numFmtId="0" fontId="6" fillId="0" borderId="0" xfId="0" applyFont="1" applyAlignment="1">
      <alignment vertical="center" wrapText="1"/>
    </xf>
    <xf numFmtId="0" fontId="4" fillId="0" borderId="0" xfId="0" applyFont="1" applyAlignment="1">
      <alignment horizontal="right" vertical="center"/>
    </xf>
    <xf numFmtId="0" fontId="13" fillId="0" borderId="0" xfId="0" applyFont="1" applyAlignment="1">
      <alignment horizontal="right" vertical="center"/>
    </xf>
    <xf numFmtId="49" fontId="4" fillId="0" borderId="0" xfId="0" applyNumberFormat="1" applyFont="1"/>
    <xf numFmtId="0" fontId="4" fillId="0" borderId="0" xfId="0" applyFont="1" applyAlignment="1">
      <alignment horizontal="right" vertical="center" wrapText="1"/>
    </xf>
    <xf numFmtId="0" fontId="6" fillId="0" borderId="0" xfId="0" applyFont="1" applyAlignment="1">
      <alignment vertical="center" wrapText="1"/>
    </xf>
    <xf numFmtId="0" fontId="14" fillId="0" borderId="0" xfId="0" applyFont="1" applyAlignment="1">
      <alignment vertical="center" wrapText="1"/>
    </xf>
    <xf numFmtId="0" fontId="14" fillId="0" borderId="0" xfId="0" applyFont="1" applyAlignment="1">
      <alignment vertical="center"/>
    </xf>
    <xf numFmtId="0" fontId="10" fillId="0" borderId="0" xfId="0" applyFont="1" applyAlignment="1">
      <alignment wrapText="1"/>
    </xf>
    <xf numFmtId="0" fontId="6" fillId="0" borderId="0" xfId="0" applyFont="1" applyAlignment="1">
      <alignment vertical="center"/>
    </xf>
    <xf numFmtId="0" fontId="10" fillId="0" borderId="0" xfId="0" applyFont="1" applyAlignment="1">
      <alignment horizontal="left" wrapText="1" shrinkToFit="1"/>
    </xf>
  </cellXfs>
  <cellStyles count="2">
    <cellStyle name="Hyperlink" xfId="1" builtinId="8"/>
    <cellStyle name="Normal" xfId="0" builtinId="0"/>
  </cellStyles>
  <dxfs count="8">
    <dxf>
      <numFmt numFmtId="30" formatCode="@"/>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2"/>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schema xmlns:xs="http://www.w3.org/2001/XMLSchema" xmlns="">
      <xs:element name="Profile">
        <xs:complexType>
          <xs:sequence>
            <xs:element name="applicationVisibilities" minOccurs="0" maxOccurs="unbounded">
              <xs:complexType>
                <xs:sequence>
                  <xs:element type="xs:string" name="application"/>
                  <xs:element type="xs:boolean" name="default"/>
                  <xs:element type="xs:boolean" name="visible"/>
                </xs:sequence>
              </xs:complexType>
            </xs:element>
            <xs:element name="categoryGroupVisibilities" minOccurs="0" maxOccurs="unbounded">
              <xs:complexType>
                <xs:sequence>
                  <xs:element name="dataCategories" minOccurs="0" maxOccurs="unbounded">
                    <xs:complexType>
                      <xs:sequence>
                        <xs:element type="xs:string" name="dataCategoryGroup"/>
                        <xs:element type="xs:string" name="visibility"/>
                      </xs:sequence>
                    </xs:complexType>
                  </xs:element>
                </xs:sequence>
              </xs:complexType>
            </xs:element>
            <xs:element name="classAccesses" minOccurs="0" maxOccurs="unbounded">
              <xs:complexType>
                <xs:sequence>
                  <xs:element type="xs:string" name="apexClass"/>
                  <xs:element type="xs:boolean" name="enabled"/>
                </xs:sequence>
              </xs:complexType>
            </xs:element>
            <xs:element type="xs:boolean" name="custom" minOccurs="0"/>
            <xs:element name="customPermissions" minOccurs="0" maxOccurs="unbounded">
              <xs:complexType>
                <xs:sequence>
                  <xs:element type="xs:boolean" name="enabled"/>
                  <xs:element type="xs:string" name="name"/>
                </xs:sequence>
              </xs:complexType>
            </xs:element>
            <xs:element type="xs:string" name="description" minOccurs="0"/>
            <xs:element name="externalDataSourceAccesses" minOccurs="0" maxOccurs="unbounded">
              <xs:complexType>
                <xs:sequence>
                  <xs:element type="xs:boolean" name="enabled"/>
                  <xs:element type="xs:string" name="externalDataSource" minOccurs="0"/>
                </xs:sequence>
              </xs:complexType>
            </xs:element>
            <xs:element name="fieldPermissions" minOccurs="0" maxOccurs="unbounded">
              <xs:complexType>
                <xs:sequence>
                  <xs:element type="xs:boolean" name="editable"/>
                  <xs:element type="xs:string" name="field"/>
                  <xs:element type="xs:boolean" name="readable"/>
                </xs:sequence>
              </xs:complexType>
            </xs:element>
            <xs:element type="xs:string" name="fullName" minOccurs="0"/>
            <xs:element name="layoutAssignments" minOccurs="0" maxOccurs="unbounded">
              <xs:complexType>
                <xs:sequence>
                  <xs:element type="xs:string" name="layout"/>
                  <xs:element type="xs:string" name="recordType" minOccurs="0"/>
                </xs:sequence>
              </xs:complexType>
            </xs:element>
            <xs:element name="loginHours" minOccurs="0" maxOccurs="unbounded">
              <xs:complexType>
                <xs:sequence>
                  <xs:element type="xs:string" name="weekdayStart"/>
                  <xs:element type="xs:string" name="weekdayEnd"/>
                </xs:sequence>
              </xs:complexType>
            </xs:element>
            <xs:element name="loginIpRanges" minOccurs="0" maxOccurs="unbounded">
              <xs:complexType>
                <xs:sequence>
                  <xs:element type="xs:string" name="description"/>
                  <xs:element type="xs:string" name="endAddress"/>
                  <xs:element type="xs:string" name="startAddress"/>
                </xs:sequence>
              </xs:complexType>
            </xs:element>
            <xs:element name="objectPermissions" minOccurs="0" maxOccurs="unbounded">
              <xs:complexType>
                <xs:sequence>
                  <xs:element type="xs:boolean" name="allowCreate"/>
                  <xs:element type="xs:boolean" name="allowDelete"/>
                  <xs:element type="xs:boolean" name="allowEdit"/>
                  <xs:element type="xs:boolean" name="allowRead"/>
                  <xs:element type="xs:boolean" name="modifyAllRecords"/>
                  <xs:element type="xs:string" name="object"/>
                  <xs:element type="xs:boolean" name="viewAllRecords"/>
                </xs:sequence>
              </xs:complexType>
            </xs:element>
            <xs:element name="pageAccesses" minOccurs="0" maxOccurs="unbounded">
              <xs:complexType>
                <xs:sequence>
                  <xs:element type="xs:string" name="apexPage"/>
                  <xs:element type="xs:boolean" name="enabled"/>
                </xs:sequence>
              </xs:complexType>
            </xs:element>
            <xs:element name="profileActionOverrides" minOccurs="0" maxOccurs="1">
              <xs:complexType>
                <xs:sequence>
                  <xs:element type="xs:string" name="actionName"/>
                  <xs:element type="xs:string" name="content" minOccurs="0"/>
                  <xs:element type="xs:string" name="formFactor"/>
                  <xs:element type="xs:string" name="pageOrSobjectType"/>
                  <xs:element type="xs:string" name="type"/>
                </xs:sequence>
              </xs:complexType>
            </xs:element>
            <xs:element name="recordTypeVisibilities" minOccurs="0" maxOccurs="unbounded">
              <xs:complexType>
                <xs:sequence>
                  <xs:element type="xs:boolean" name="default"/>
                  <xs:element type="xs:boolean" name="personAccountDefault" minOccurs="0"/>
                  <xs:element type="xs:string" name="recordType"/>
                  <xs:element type="xs:boolean" name="visible"/>
                </xs:sequence>
              </xs:complexType>
            </xs:element>
            <xs:element name="tabVisibilities" minOccurs="0" maxOccurs="unbounded">
              <xs:complexType>
                <xs:sequence>
                  <xs:element type="xs:string" name="tab"/>
                  <xs:element type="xs:string" name="visibility"/>
                </xs:sequence>
              </xs:complexType>
            </xs:element>
            <xs:element type="xs:string" name="userLicense"/>
            <xs:element name="userPermissions" minOccurs="0" maxOccurs="unbounded">
              <xs:complexType>
                <xs:sequence>
                  <xs:element type="xs:boolean" name="enabled"/>
                  <xs:element type="xs:string" name="name"/>
                </xs:sequence>
              </xs:complexType>
            </xs:element>
          </xs:sequence>
        </xs:complexType>
      </xs:element>
    </xs:schema>
  </Schema>
  <Schema ID="Schema3">
    <xs:schema xmlns:xs="http://www.w3.org/2001/XMLSchema" xmlns="">
      <xs:element name="PermissionSet">
        <xs:complexType>
          <xs:sequence>
            <xs:element name="applicationVisibilities" minOccurs="0" maxOccurs="unbounded">
              <xs:complexType>
                <xs:sequence>
                  <xs:element type="xs:string" name="application"/>
                  <xs:element type="xs:boolean" name="visible"/>
                </xs:sequence>
              </xs:complexType>
            </xs:element>
            <xs:element name="classAccesses" minOccurs="0" maxOccurs="unbounded">
              <xs:complexType>
                <xs:sequence>
                  <xs:element type="xs:string" name="apexClass"/>
                  <xs:element type="xs:boolean" name="enabled"/>
                </xs:sequence>
              </xs:complexType>
            </xs:element>
            <xs:element name="customPermissions" minOccurs="0" maxOccurs="unbounded">
              <xs:complexType>
                <xs:sequence>
                  <xs:element type="xs:boolean" name="enabled"/>
                  <xs:element type="xs:string" name="name"/>
                </xs:sequence>
              </xs:complexType>
            </xs:element>
            <xs:element type="xs:string" name="description" minOccurs="0"/>
            <xs:element name="externalDataSourceAccesses" minOccurs="0" maxOccurs="unbounded">
              <xs:complexType>
                <xs:sequence>
                  <xs:element type="xs:boolean" name="enabled"/>
                  <xs:element type="xs:string" name="externalDataSource" minOccurs="0"/>
                </xs:sequence>
              </xs:complexType>
            </xs:element>
            <xs:element name="fieldPermissions" minOccurs="0" maxOccurs="unbounded">
              <xs:complexType>
                <xs:sequence>
                  <xs:element type="xs:boolean" name="editable"/>
                  <xs:element type="xs:string" name="field"/>
                  <xs:element type="xs:boolean" name="readable"/>
                </xs:sequence>
              </xs:complexType>
            </xs:element>
            <xs:element type="xs:boolean" name="hasActivationRequired" minOccurs="0"/>
            <xs:element type="xs:string" name="label"/>
            <xs:element type="xs:string" name="license" minOccurs="0"/>
            <xs:element name="objectPermissions" minOccurs="0" maxOccurs="unbounded">
              <xs:complexType>
                <xs:sequence>
                  <xs:element type="xs:boolean" name="allowCreate"/>
                  <xs:element type="xs:boolean" name="allowDelete"/>
                  <xs:element type="xs:boolean" name="allowEdit"/>
                  <xs:element type="xs:boolean" name="allowRead"/>
                  <xs:element type="xs:boolean" name="modifyAllRecords"/>
                  <xs:element type="xs:string" name="object"/>
                  <xs:element type="xs:boolean" name="viewAllRecords"/>
                </xs:sequence>
              </xs:complexType>
            </xs:element>
            <xs:element name="pageAccesses" minOccurs="0" maxOccurs="unbounded">
              <xs:complexType>
                <xs:sequence>
                  <xs:element type="xs:string" name="apexPage"/>
                  <xs:element type="xs:boolean" name="enabled"/>
                </xs:sequence>
              </xs:complexType>
            </xs:element>
            <xs:element name="recordTypeVisibilities" minOccurs="0" maxOccurs="unbounded">
              <xs:complexType>
                <xs:sequence>
                  <xs:element type="xs:string" name="recordType"/>
                  <xs:element type="xs:boolean" name="visible"/>
                </xs:sequence>
              </xs:complexType>
            </xs:element>
            <xs:element name="tabVisibilities" minOccurs="0" maxOccurs="unbounded">
              <xs:complexType>
                <xs:sequence>
                  <xs:element type="xs:string" name="tab"/>
                  <xs:element type="xs:string" name="visibility"/>
                </xs:sequence>
              </xs:complexType>
            </xs:element>
            <xs:element type="xs:string" name="userLicense" minOccurs="0"/>
            <xs:element name="userPermissions" minOccurs="0" maxOccurs="unbounded">
              <xs:complexType>
                <xs:sequence>
                  <xs:element type="xs:boolean" name="enabled"/>
                  <xs:element type="xs:string" name="name"/>
                </xs:sequence>
              </xs:complexType>
            </xs:element>
          </xs:sequence>
        </xs:complexType>
      </xs:element>
    </xs:schema>
  </Schema>
  <Map ID="3" Name="PermissionSet_Map" RootElement="PermissionSet" SchemaID="Schema3" ShowImportExportValidationErrors="true" AutoFit="true" Append="false" PreserveSortAFLayout="true" PreserveFormat="true"/>
  <Map ID="2" Name="Profile_Map" RootElement="Profile" SchemaID="Schema2" ShowImportExportValidationErrors="tru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12B03B8-F442-4A1E-AEE2-3EE3C7B7D556}" name="Table11" displayName="Table11" ref="A4:C5" tableType="xml" insertRow="1" totalsRowShown="0" connectionId="1">
  <autoFilter ref="A4:C5" xr:uid="{D057116B-05E8-4247-B053-55FD19E51C80}"/>
  <tableColumns count="3">
    <tableColumn id="1" xr3:uid="{50B53F71-EA83-4B26-8F7D-98D38E8FDE95}" uniqueName="application" name="Application">
      <xmlColumnPr mapId="2" xpath="/Profile/applicationVisibilities/application" xmlDataType="string"/>
    </tableColumn>
    <tableColumn id="2" xr3:uid="{12573831-041C-491D-994F-B502232068B3}" uniqueName="visible" name="visible">
      <xmlColumnPr mapId="2" xpath="/Profile/applicationVisibilities/visible" xmlDataType="boolean"/>
    </tableColumn>
    <tableColumn id="3" xr3:uid="{946343A8-FDA7-4114-AA39-2C1AAC0ADF51}" uniqueName="default" name="default">
      <xmlColumnPr mapId="2" xpath="/Profile/applicationVisibilities/default" xmlDataType="boolean"/>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0F2A0FB-A881-4B45-AF54-32FBD6C29F8C}" name="Table28" displayName="Table28" ref="A9:B10" tableType="xml" insertRow="1" totalsRowShown="0">
  <autoFilter ref="A9:B10" xr:uid="{599635B7-F272-4B7F-B1A0-F2DDA0B756BC}"/>
  <tableColumns count="2">
    <tableColumn id="1" xr3:uid="{B10F57F8-BEC2-48C8-80B8-82607182CA26}" uniqueName="application" name="Application">
      <xmlColumnPr mapId="3" xpath="/PermissionSet/applicationVisibilities/application" xmlDataType="string"/>
    </tableColumn>
    <tableColumn id="2" xr3:uid="{3830055B-D2D0-4A0B-B569-F399FD1F2B9B}" uniqueName="visible" name="visible">
      <xmlColumnPr mapId="3" xpath="/PermissionSet/applicationVisibilities/visible" xmlDataType="boolean"/>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C5BDCDB-FA0B-47AB-8C54-3D8017465EDB}" name="Table6" displayName="Table6" ref="A4:B5" tableType="xml" insertRow="1" totalsRowShown="0" connectionId="1">
  <autoFilter ref="A4:B5" xr:uid="{CF1A01CC-31C9-43B0-B505-17896A100612}"/>
  <tableColumns count="2">
    <tableColumn id="1" xr3:uid="{76382C2E-3B68-4133-A2AF-B607A6E6F477}" uniqueName="dataCategoryGroup" name="Data Category Group" dataDxfId="7">
      <xmlColumnPr mapId="2" xpath="/Profile/categoryGroupVisibilities/dataCategories/dataCategoryGroup" xmlDataType="string"/>
    </tableColumn>
    <tableColumn id="2" xr3:uid="{1B661A7A-D5FB-41CD-ABBA-DA433DE4EFEF}" uniqueName="visibility" name="visibility">
      <xmlColumnPr mapId="2" xpath="/Profile/categoryGroupVisibilities/dataCategories/visibility" xmlDataType="string"/>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10B9018-AD16-48D8-971C-5844F36711A4}" name="Table15" displayName="Table15" ref="A4:B5" tableType="xml" insertRow="1" totalsRowShown="0" connectionId="1">
  <autoFilter ref="A4:B5" xr:uid="{8F020872-8CC8-480D-B445-D203F88F1D14}"/>
  <tableColumns count="2">
    <tableColumn id="1" xr3:uid="{1319D242-DE15-40FC-9FF8-7CFEE85569C9}" uniqueName="apexClass" name="Apex Class">
      <xmlColumnPr mapId="2" xpath="/Profile/classAccesses/apexClass" xmlDataType="string"/>
    </tableColumn>
    <tableColumn id="2" xr3:uid="{57149893-FA50-410D-B6D1-E733271FD7D4}" uniqueName="enabled" name="enabled">
      <xmlColumnPr mapId="2" xpath="/Profile/classAccesses/enabled" xmlDataType="boolean"/>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C7FA85FC-A73B-4F2D-B6A2-2DF47ED43B05}" name="Table30" displayName="Table30" ref="A9:B10" tableType="xml" insertRow="1" totalsRowShown="0">
  <autoFilter ref="A9:B10" xr:uid="{01420D8E-3DB6-4A6B-93E3-3C65CBE766E3}"/>
  <tableColumns count="2">
    <tableColumn id="1" xr3:uid="{201BBA35-B40F-4253-AEDB-54640806BB38}" uniqueName="apexClass" name="Apex Class">
      <xmlColumnPr mapId="3" xpath="/PermissionSet/classAccesses/apexClass" xmlDataType="string"/>
    </tableColumn>
    <tableColumn id="2" xr3:uid="{FBDB2533-33CE-4FD9-82AC-DE371F0B90F2}" uniqueName="enabled" name="enabled">
      <xmlColumnPr mapId="3" xpath="/PermissionSet/classAccesses/enabled" xmlDataType="boolean"/>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9CD3EC26-C39C-4FE5-99D8-220B678F08B0}" name="Table17" displayName="Table17" ref="A4:B5" tableType="xml" insertRow="1" totalsRowShown="0" connectionId="1">
  <autoFilter ref="A4:B5" xr:uid="{AE93FB21-1609-4E57-BA02-4421237B1E41}"/>
  <tableColumns count="2">
    <tableColumn id="1" xr3:uid="{E2DB7817-2929-4759-9F3F-53F96CD739F8}" uniqueName="name" name="Custom Permission">
      <xmlColumnPr mapId="2" xpath="/Profile/customPermissions/name" xmlDataType="string"/>
    </tableColumn>
    <tableColumn id="2" xr3:uid="{D64B65B5-18A4-4A08-8A5F-E418E6D7FFFA}" uniqueName="enabled" name="enabled">
      <xmlColumnPr mapId="2" xpath="/Profile/customPermissions/enabled" xmlDataType="boolean"/>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BC02E654-9EBB-404F-ABED-87AB39B4620F}" name="Table31" displayName="Table31" ref="A9:B10" tableType="xml" insertRow="1" totalsRowShown="0">
  <autoFilter ref="A9:B10" xr:uid="{20DD5134-B7F1-4D6A-A13B-D7879216B4CD}"/>
  <tableColumns count="2">
    <tableColumn id="1" xr3:uid="{CBA6A875-25E2-45F4-BAC9-3287A33E9CC5}" uniqueName="name" name="Custom Permission">
      <xmlColumnPr mapId="3" xpath="/PermissionSet/customPermissions/name" xmlDataType="string"/>
    </tableColumn>
    <tableColumn id="2" xr3:uid="{627F6BE6-DD6D-4166-ABA5-1D7020AE5189}" uniqueName="enabled" name="enabled">
      <xmlColumnPr mapId="3" xpath="/PermissionSet/customPermissions/enabled" xmlDataType="boolean"/>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F5FEB42-FA0A-447E-8A73-471B424AE085}" name="Table18" displayName="Table18" ref="A4:B5" tableType="xml" insertRow="1" totalsRowShown="0" connectionId="1">
  <autoFilter ref="A4:B5" xr:uid="{F8B89402-D336-479E-806B-30755495E878}"/>
  <tableColumns count="2">
    <tableColumn id="1" xr3:uid="{5F61AA8D-DFEC-4D24-BFAC-1F75390CE236}" uniqueName="externalDataSource" name="External Data Source">
      <xmlColumnPr mapId="2" xpath="/Profile/externalDataSourceAccesses/externalDataSource" xmlDataType="string"/>
    </tableColumn>
    <tableColumn id="2" xr3:uid="{BD6561D8-CF47-4456-9535-7453647443DB}" uniqueName="enabled" name="enabled">
      <xmlColumnPr mapId="2" xpath="/Profile/externalDataSourceAccesses/enabled" xmlDataType="boolean"/>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F1788C6-1014-41BC-9B1B-CC3BFB6D8CDB}" name="Table32" displayName="Table32" ref="A9:B10" tableType="xml" totalsRowShown="0">
  <autoFilter ref="A9:B10" xr:uid="{75956E57-85E5-40AE-97C6-5467034303E9}"/>
  <tableColumns count="2">
    <tableColumn id="1" xr3:uid="{AB6D2C24-D7BF-467A-BC71-E2586C2AC949}" uniqueName="externalDataSource" name="External Data Source">
      <xmlColumnPr mapId="3" xpath="/PermissionSet/externalDataSourceAccesses/externalDataSource" xmlDataType="string"/>
    </tableColumn>
    <tableColumn id="2" xr3:uid="{511DB478-3B82-4522-86D6-5CFD2BD01842}" uniqueName="enabled" name="enabled">
      <xmlColumnPr mapId="3" xpath="/PermissionSet/externalDataSourceAccesses/enabled" xmlDataType="boolean"/>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FB0C21F-7761-4F29-8963-C1BA7629F160}" name="Table19" displayName="Table19" ref="A4:C5" tableType="xml" insertRow="1" totalsRowShown="0" connectionId="1">
  <autoFilter ref="A4:C5" xr:uid="{B077E1F0-3606-4371-A927-007CC486D686}"/>
  <tableColumns count="3">
    <tableColumn id="1" xr3:uid="{962C253A-CAC1-489E-B55E-A22613BE7A7E}" uniqueName="field" name="Field">
      <xmlColumnPr mapId="2" xpath="/Profile/fieldPermissions/field" xmlDataType="string"/>
    </tableColumn>
    <tableColumn id="2" xr3:uid="{C8B3BA28-9CC9-4C10-BD55-154BE7B456CB}" uniqueName="readable" name="readable">
      <xmlColumnPr mapId="2" xpath="/Profile/fieldPermissions/readable" xmlDataType="boolean"/>
    </tableColumn>
    <tableColumn id="3" xr3:uid="{0259E0A4-9FE6-40C7-9222-F399594E3C69}" uniqueName="editable" name="editable">
      <xmlColumnPr mapId="2" xpath="/Profile/fieldPermissions/editable" xmlDataType="boolean"/>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7D474989-08A2-45E9-B8E9-C8E0B023B7A6}" name="Table33" displayName="Table33" ref="A9:C10" tableType="xml" insertRow="1" totalsRowShown="0">
  <autoFilter ref="A9:C10" xr:uid="{E2C712C5-8A1F-44A8-BBB1-E10BCDA05311}"/>
  <tableColumns count="3">
    <tableColumn id="1" xr3:uid="{CB7E07C9-7EE2-494E-AECC-DA641AC38181}" uniqueName="field" name="Field">
      <xmlColumnPr mapId="3" xpath="/PermissionSet/fieldPermissions/field" xmlDataType="string"/>
    </tableColumn>
    <tableColumn id="2" xr3:uid="{73525842-E23E-408C-AE14-E2976B927AC3}" uniqueName="readable" name="readable">
      <xmlColumnPr mapId="3" xpath="/PermissionSet/fieldPermissions/readable" xmlDataType="boolean"/>
    </tableColumn>
    <tableColumn id="3" xr3:uid="{5ECAE363-1706-41D9-8007-7F9C5AA79C58}" uniqueName="editable" name="editable">
      <xmlColumnPr mapId="3" xpath="/PermissionSet/fieldPermissions/editable" xmlDataType="boolean"/>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733A1D2-317C-44F6-ABC4-2EAD4B32AE34}" name="Table20" displayName="Table20" ref="A4:B5" tableType="xml" insertRow="1" totalsRowShown="0" connectionId="1">
  <autoFilter ref="A4:B5" xr:uid="{51A5DBC6-0109-4CD2-A4FE-FFDD179D9098}"/>
  <tableColumns count="2">
    <tableColumn id="1" xr3:uid="{87DE8C08-9573-4602-A6D7-4BC549D472A4}" uniqueName="layout" name="Layout">
      <xmlColumnPr mapId="2" xpath="/Profile/layoutAssignments/layout" xmlDataType="string"/>
    </tableColumn>
    <tableColumn id="2" xr3:uid="{52BBD110-4E86-4FCF-A843-C8E27760EF4A}" uniqueName="recordType" name="Record Type">
      <xmlColumnPr mapId="2" xpath="/Profile/layoutAssignments/recordType" xmlDataType="string"/>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1C68458-0C08-4134-9809-775E86661B0F}" name="Table21" displayName="Table21" ref="A4:B5" tableType="xml" insertRow="1" totalsRowShown="0" connectionId="1">
  <autoFilter ref="A4:B5" xr:uid="{19DE25A7-A431-4773-BB25-32A6DDBDD0B5}"/>
  <tableColumns count="2">
    <tableColumn id="1" xr3:uid="{8F19FB26-673F-4B28-B0AF-74DB38F3AB04}" uniqueName="weekdayStart" name="weekdayStart">
      <xmlColumnPr mapId="2" xpath="/Profile/loginHours/weekdayStart" xmlDataType="string"/>
    </tableColumn>
    <tableColumn id="2" xr3:uid="{EC75E09C-9CA3-450B-9309-E2F10FB71BD0}" uniqueName="weekdayEnd" name="weekdayEnd">
      <xmlColumnPr mapId="2" xpath="/Profile/loginHours/weekdayEnd" xmlDataType="string"/>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44735EF-9273-4A58-8512-D822221E5F25}" name="Table1" displayName="Table1" ref="A4:C5" tableType="xml" insertRow="1" totalsRowShown="0" connectionId="1">
  <autoFilter ref="A4:C5" xr:uid="{629A11FC-1F2D-4AD9-9762-828796F46388}"/>
  <tableColumns count="3">
    <tableColumn id="1" xr3:uid="{981DF3DD-21DB-45E5-8DDD-59497E0168A0}" uniqueName="description" name="description">
      <xmlColumnPr mapId="2" xpath="/Profile/loginIpRanges/description" xmlDataType="string"/>
    </tableColumn>
    <tableColumn id="2" xr3:uid="{0941EABC-00BF-497E-9782-F08802ED2758}" uniqueName="startAddress" name="startAddress">
      <xmlColumnPr mapId="2" xpath="/Profile/loginIpRanges/startAddress" xmlDataType="string"/>
    </tableColumn>
    <tableColumn id="3" xr3:uid="{7BDF33AF-6B60-4135-B602-EC4ACA6898FF}" uniqueName="endAddress" name="endAddress">
      <xmlColumnPr mapId="2" xpath="/Profile/loginIpRanges/endAddress" xmlDataType="string"/>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658BE7A-4D28-48F3-91BF-7327AE693EAA}" name="Table2" displayName="Table2" ref="A4:G5" tableType="xml" insertRow="1" totalsRowShown="0" connectionId="1">
  <autoFilter ref="A4:G5" xr:uid="{2B8A1567-9EA4-4BE8-9C85-CB044A82887B}"/>
  <tableColumns count="7">
    <tableColumn id="1" xr3:uid="{6A156FEF-FAFF-4460-AFA3-8D7F268C4EE3}" uniqueName="object" name="Object Name" dataDxfId="6">
      <xmlColumnPr mapId="2" xpath="/Profile/objectPermissions/object" xmlDataType="string"/>
    </tableColumn>
    <tableColumn id="2" xr3:uid="{43005007-E5DA-4CD6-81DA-E7A8A9E51F3B}" uniqueName="allowRead" name="allowRead" dataDxfId="5">
      <xmlColumnPr mapId="2" xpath="/Profile/objectPermissions/allowRead" xmlDataType="boolean"/>
    </tableColumn>
    <tableColumn id="3" xr3:uid="{23D0ECA2-8055-4BD5-9F67-AEFE30CFAEDB}" uniqueName="allowCreate" name="allowCreate" dataDxfId="4">
      <xmlColumnPr mapId="2" xpath="/Profile/objectPermissions/allowCreate" xmlDataType="boolean"/>
    </tableColumn>
    <tableColumn id="4" xr3:uid="{2DA9FCD9-B0BD-47B4-B683-227942CD292E}" uniqueName="allowEdit" name="allowEdit" dataDxfId="3">
      <xmlColumnPr mapId="2" xpath="/Profile/objectPermissions/allowEdit" xmlDataType="boolean"/>
    </tableColumn>
    <tableColumn id="5" xr3:uid="{CA264CDF-EFFB-4CDB-B7D0-68ECF3A28716}" uniqueName="allowDelete" name="allowDelete" dataDxfId="2">
      <xmlColumnPr mapId="2" xpath="/Profile/objectPermissions/allowDelete" xmlDataType="boolean"/>
    </tableColumn>
    <tableColumn id="6" xr3:uid="{E5B3DB94-9DF3-4DD9-A7E5-D10AB83ADAA8}" uniqueName="viewAllRecords" name="viewAllRecords" dataDxfId="1">
      <xmlColumnPr mapId="2" xpath="/Profile/objectPermissions/viewAllRecords" xmlDataType="boolean"/>
    </tableColumn>
    <tableColumn id="7" xr3:uid="{D1A406FB-8351-4D1F-9BEE-A1863D611E2E}" uniqueName="modifyAllRecords" name="modifyAllRecords" dataDxfId="0">
      <xmlColumnPr mapId="2" xpath="/Profile/objectPermissions/modifyAllRecords" xmlDataType="boolean"/>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2E500B4-47E2-45B9-95DB-5E4B2D91FD6F}" name="Table35" displayName="Table35" ref="A9:G10" tableType="xml" insertRow="1" totalsRowShown="0">
  <autoFilter ref="A9:G10" xr:uid="{52F9A765-D6CD-41EA-9792-BBCF5087D070}"/>
  <tableColumns count="7">
    <tableColumn id="1" xr3:uid="{0CBC05E1-4D0A-4244-BBCC-4C6950903F8B}" uniqueName="object" name="Object Name">
      <xmlColumnPr mapId="3" xpath="/PermissionSet/objectPermissions/object" xmlDataType="string"/>
    </tableColumn>
    <tableColumn id="2" xr3:uid="{058794BD-BF49-4422-99D9-07CEBDD4DC9C}" uniqueName="allowRead" name="allowRead">
      <xmlColumnPr mapId="3" xpath="/PermissionSet/objectPermissions/allowRead" xmlDataType="boolean"/>
    </tableColumn>
    <tableColumn id="3" xr3:uid="{01ECD028-BC61-4CD4-BF92-F1762C828342}" uniqueName="allowCreate" name="allowCreate">
      <xmlColumnPr mapId="3" xpath="/PermissionSet/objectPermissions/allowCreate" xmlDataType="boolean"/>
    </tableColumn>
    <tableColumn id="4" xr3:uid="{4C15425D-3EBB-4250-8276-E1FE4665845B}" uniqueName="allowEdit" name="allowEdit">
      <xmlColumnPr mapId="3" xpath="/PermissionSet/objectPermissions/allowEdit" xmlDataType="boolean"/>
    </tableColumn>
    <tableColumn id="5" xr3:uid="{C3F3E4A9-F3AF-40CA-8B79-F5C79E633011}" uniqueName="allowDelete" name="allowDelete">
      <xmlColumnPr mapId="3" xpath="/PermissionSet/objectPermissions/allowDelete" xmlDataType="boolean"/>
    </tableColumn>
    <tableColumn id="6" xr3:uid="{E3F42ED8-B7DA-4DD5-B296-00C1E7EC9B30}" uniqueName="viewAllRecords" name="viewAllRecords">
      <xmlColumnPr mapId="3" xpath="/PermissionSet/objectPermissions/viewAllRecords" xmlDataType="boolean"/>
    </tableColumn>
    <tableColumn id="7" xr3:uid="{9138C486-51F6-403E-B5AC-41B70E658AC5}" uniqueName="modifyAllRecords" name="modifyAllRecords">
      <xmlColumnPr mapId="3" xpath="/PermissionSet/objectPermissions/modifyAllRecords" xmlDataType="boolean"/>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1E58137-E517-4030-A15E-EB368634207F}" name="Table5" displayName="Table5" ref="A4:B5" tableType="xml" insertRow="1" totalsRowShown="0" connectionId="1">
  <autoFilter ref="A4:B5" xr:uid="{2821DD34-C201-424A-873F-0763C85D69D0}"/>
  <tableColumns count="2">
    <tableColumn id="1" xr3:uid="{ED8D1486-B9BC-4622-897D-1365317D8F5A}" uniqueName="apexPage" name="VisualForce Page">
      <xmlColumnPr mapId="2" xpath="/Profile/pageAccesses/apexPage" xmlDataType="string"/>
    </tableColumn>
    <tableColumn id="2" xr3:uid="{3E67C318-EDC3-49F9-B359-441483298DAF}" uniqueName="enabled" name="enabled">
      <xmlColumnPr mapId="2" xpath="/Profile/pageAccesses/enabled" xmlDataType="boolean"/>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8AF78AEB-DD8B-4A66-A844-48E9AF0FC297}" name="Table37" displayName="Table37" ref="A9:B10" tableType="xml" insertRow="1" totalsRowShown="0">
  <autoFilter ref="A9:B10" xr:uid="{741F9A27-5C3D-4621-A25B-581B32B98FDA}"/>
  <tableColumns count="2">
    <tableColumn id="1" xr3:uid="{C2FAC3A7-6085-4438-A54B-1D75EBEFA88B}" uniqueName="apexPage" name="VisualForce Page">
      <xmlColumnPr mapId="3" xpath="/PermissionSet/pageAccesses/apexPage" xmlDataType="string"/>
    </tableColumn>
    <tableColumn id="2" xr3:uid="{4E78FE4A-6EE4-4DE6-9FE2-2BA40DFAF914}" uniqueName="enabled" name="enabled">
      <xmlColumnPr mapId="3" xpath="/PermissionSet/pageAccesses/enabled" xmlDataType="boolean"/>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83D56A3-6A87-428D-BC96-72695ED493A5}" name="Table16" displayName="Table16" ref="A4:D5" tableType="xml" insertRow="1" totalsRowShown="0" connectionId="1">
  <autoFilter ref="A4:D5" xr:uid="{23988FE7-4927-40BF-BCF3-E91DA1E0E675}"/>
  <tableColumns count="4">
    <tableColumn id="1" xr3:uid="{07E520A6-809E-4BDB-8B35-3011DA14618B}" uniqueName="recordType" name="Record Type">
      <xmlColumnPr mapId="2" xpath="/Profile/recordTypeVisibilities/recordType" xmlDataType="string"/>
    </tableColumn>
    <tableColumn id="2" xr3:uid="{A97F8D69-4817-458A-BCA6-B8BAAF41A7C6}" uniqueName="visible" name="visible">
      <xmlColumnPr mapId="2" xpath="/Profile/recordTypeVisibilities/visible" xmlDataType="boolean"/>
    </tableColumn>
    <tableColumn id="3" xr3:uid="{5183D501-2E1F-452D-ACF9-473A8C3514EE}" uniqueName="default" name="default">
      <xmlColumnPr mapId="2" xpath="/Profile/recordTypeVisibilities/default" xmlDataType="boolean"/>
    </tableColumn>
    <tableColumn id="4" xr3:uid="{D9D32A8C-0118-4080-B898-53A89D5D334C}" uniqueName="personAccountDefault" name="personAccountDefault">
      <xmlColumnPr mapId="2" xpath="/Profile/recordTypeVisibilities/personAccountDefault" xmlDataType="boolean"/>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2A2FE32F-757D-467D-BE1B-2033EEC82F7C}" name="Table38" displayName="Table38" ref="A9:B10" tableType="xml" insertRow="1" totalsRowShown="0">
  <autoFilter ref="A9:B10" xr:uid="{B8955B74-8044-42BF-89DF-8B298DA0D173}"/>
  <tableColumns count="2">
    <tableColumn id="1" xr3:uid="{1C01E184-DF4B-4ECB-BE37-6DE5F42D617B}" uniqueName="recordType" name="Record Type">
      <xmlColumnPr mapId="3" xpath="/PermissionSet/recordTypeVisibilities/recordType" xmlDataType="string"/>
    </tableColumn>
    <tableColumn id="2" xr3:uid="{72FEA274-FB1D-467D-ACB5-74955897ED55}" uniqueName="visible" name="visible">
      <xmlColumnPr mapId="3" xpath="/PermissionSet/recordTypeVisibilities/visible" xmlDataType="boolean"/>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CBF1C46-9B27-47B7-9B77-B61AD1253AD3}" name="Table39" displayName="Table39" ref="A9:B10" tableType="xml" insertRow="1" totalsRowShown="0">
  <autoFilter ref="A9:B10" xr:uid="{E42324A4-754C-47B8-80EC-310AAF9ACCD3}"/>
  <tableColumns count="2">
    <tableColumn id="1" xr3:uid="{FABE0AE5-873F-4F56-96F1-14C59DCD5CAC}" uniqueName="tab" name="Tab">
      <xmlColumnPr mapId="3" xpath="/PermissionSet/tabVisibilities/tab" xmlDataType="string"/>
    </tableColumn>
    <tableColumn id="2" xr3:uid="{690E3405-E9AA-436C-B773-9CB74B10B43A}" uniqueName="visibility" name="visibility">
      <xmlColumnPr mapId="3" xpath="/PermissionSet/tabVisibilities/visibility" xmlDataType="string"/>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D2FE893-8090-4FBC-9476-FDB8ADA4EA3B}" name="Table12" displayName="Table12" ref="A4:B5" tableType="xml" insertRow="1" totalsRowShown="0" connectionId="1">
  <autoFilter ref="A4:B5" xr:uid="{231263EC-03A6-4068-9CBD-D0278EE1A648}"/>
  <tableColumns count="2">
    <tableColumn id="1" xr3:uid="{FC540AEC-9823-4340-B2CD-151D0A4482E6}" uniqueName="tab" name="Tab">
      <xmlColumnPr mapId="2" xpath="/Profile/tabVisibilities/tab" xmlDataType="string"/>
    </tableColumn>
    <tableColumn id="2" xr3:uid="{0414D794-0425-4E5E-A7FD-C4A45F737ABF}" uniqueName="visibility" name="visibility">
      <xmlColumnPr mapId="2" xpath="/Profile/tabVisibilities/visibility" xmlDataType="string"/>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41CA366-E9CA-4640-A73D-6382D227A734}" name="Table40" displayName="Table40" ref="A9:B10" tableType="xml" insertRow="1" totalsRowShown="0">
  <autoFilter ref="A9:B10" xr:uid="{E66B823C-DF80-4A4B-BF5D-879067973A97}"/>
  <tableColumns count="2">
    <tableColumn id="1" xr3:uid="{975933D7-6C3A-49EB-9931-F0FC49FC962D}" uniqueName="name" name="User Permission">
      <xmlColumnPr mapId="3" xpath="/PermissionSet/userPermissions/name" xmlDataType="string"/>
    </tableColumn>
    <tableColumn id="2" xr3:uid="{B458F070-55FF-4457-9036-27B442E9B568}" uniqueName="enabled" name="enabled">
      <xmlColumnPr mapId="3" xpath="/PermissionSet/userPermissions/enabled" xmlDataType="boolean"/>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522010A-61D8-4883-9B69-43AF4B87FAF7}" name="Table24" displayName="Table24" ref="A4:B5" tableType="xml" insertRow="1" totalsRowShown="0" connectionId="1">
  <autoFilter ref="A4:B5" xr:uid="{BC461B7F-46A9-46AC-9ECC-32DF067B3430}"/>
  <tableColumns count="2">
    <tableColumn id="1" xr3:uid="{97F7F5F1-A943-4F53-96A7-B818684404F4}" uniqueName="name" name="User Permission">
      <xmlColumnPr mapId="2" xpath="/Profile/userPermissions/name" xmlDataType="string"/>
    </tableColumn>
    <tableColumn id="2" xr3:uid="{C0E99DBD-9C3E-4D2F-9DC7-C917B239B6DC}" uniqueName="enabled" name="enabled">
      <xmlColumnPr mapId="2" xpath="/Profile/userPermissions/enabled" xmlDataType="boolean"/>
    </tableColumn>
  </tableColumns>
  <tableStyleInfo name="TableStyleMedium2"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0" xr6:uid="{833082D9-F9BB-4140-BDAC-2E1FA2FD962F}" r="B6" connectionId="1">
    <xmlCellPr id="1" xr6:uid="{3816D27A-7308-46AF-A063-2CEDA3AEA259}" uniqueName="custom">
      <xmlPr mapId="2" xpath="/Profile/custom" xmlDataType="boolean"/>
    </xmlCellPr>
  </singleXmlCell>
  <singleXmlCell id="8" xr6:uid="{2C370A3A-9FB5-42DD-B50F-77985B8F81AE}" r="B3" connectionId="1">
    <xmlCellPr id="1" xr6:uid="{DD50404C-23A8-4BE5-9FA4-71C7347EB65B}" uniqueName="description">
      <xmlPr mapId="2" xpath="/Profile/description" xmlDataType="string"/>
    </xmlCellPr>
  </singleXmlCell>
  <singleXmlCell id="4" xr6:uid="{56FB20D0-6B32-48D4-91FB-55E89677AFD9}" r="B4" connectionId="1">
    <xmlCellPr id="1" xr6:uid="{124E5D41-E5F9-4698-99A6-0E1E7C57D535}" uniqueName="userLicense">
      <xmlPr mapId="2" xpath="/Profile/userLicense" xmlDataType="string"/>
    </xmlCellPr>
  </singleXmlCell>
  <singleXmlCell id="3" xr6:uid="{BC0F315A-8A71-4AA4-871B-9F22DF2006AD}" r="B2" connectionId="1">
    <xmlCellPr id="1" xr6:uid="{6E63681E-9752-45FD-AC9C-99210DD7C0F3}" uniqueName="fullName">
      <xmlPr mapId="2" xpath="/Profile/fullName" xmlDataType="string"/>
    </xmlCellPr>
  </singleXmlCell>
  <singleXmlCell id="23" xr6:uid="{9B8A5225-6D2A-42C8-9A30-21D466E1BE9B}" r="C2" connectionId="0">
    <xmlCellPr id="1" xr6:uid="{1CCBC095-6BE9-423D-8909-FD5A8165D956}" uniqueName="label">
      <xmlPr mapId="3" xpath="/PermissionSet/label" xmlDataType="string"/>
    </xmlCellPr>
  </singleXmlCell>
  <singleXmlCell id="25" xr6:uid="{7D3B1BA5-E3E7-4EC7-8EF1-65FD69064640}" r="C3" connectionId="0">
    <xmlCellPr id="1" xr6:uid="{A460865C-93A4-450D-AA36-FEC41DDD7F48}" uniqueName="description">
      <xmlPr mapId="3" xpath="/PermissionSet/description" xmlDataType="string"/>
    </xmlCellPr>
  </singleXmlCell>
  <singleXmlCell id="26" xr6:uid="{1CF89F07-E051-41FF-BF12-C0452C515119}" r="C4" connectionId="0">
    <xmlCellPr id="1" xr6:uid="{62F443AD-F097-41AB-ACC9-0ECA782E93D2}" uniqueName="license">
      <xmlPr mapId="3" xpath="/PermissionSet/license" xmlDataType="string"/>
    </xmlCellPr>
  </singleXmlCell>
  <singleXmlCell id="27" xr6:uid="{844C440E-4921-4F7A-A47C-A3E3A611E6D2}" r="C5" connectionId="0">
    <xmlCellPr id="1" xr6:uid="{421EC159-ECBC-4794-A3D0-9975FF8FAA09}" uniqueName="userLicense">
      <xmlPr mapId="3" xpath="/PermissionSet/userLicense" xmlDataType="string"/>
    </xmlCellPr>
  </singleXmlCell>
  <singleXmlCell id="34" xr6:uid="{C1E59D0C-0473-48CB-9D66-414716E8C60B}" r="C7" connectionId="0">
    <xmlCellPr id="1" xr6:uid="{71188844-863A-4384-A01A-3C23104C5344}" uniqueName="hasActivationRequired">
      <xmlPr mapId="3" xpath="/PermissionSet/hasActivationRequired" xmlDataType="boolean"/>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SingleCells" Target="../tables/tableSingleCells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table" Target="../tables/table1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table" Target="../tables/table21.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D54C1D-8427-430F-BCA5-F070A03526FB}">
  <sheetPr codeName="Sheet17"/>
  <dimension ref="A1:Q12"/>
  <sheetViews>
    <sheetView workbookViewId="0">
      <selection activeCell="B9" sqref="B9:Q9"/>
    </sheetView>
  </sheetViews>
  <sheetFormatPr defaultRowHeight="15" x14ac:dyDescent="0.25"/>
  <cols>
    <col min="1" max="1" width="45.5703125" customWidth="1"/>
    <col min="2" max="3" width="20.7109375" customWidth="1"/>
    <col min="4" max="4" width="23" customWidth="1"/>
  </cols>
  <sheetData>
    <row r="1" spans="1:17" ht="54" customHeight="1" x14ac:dyDescent="0.25">
      <c r="A1" s="24" t="s">
        <v>65</v>
      </c>
      <c r="B1" s="24"/>
      <c r="C1" s="24"/>
      <c r="D1" s="24"/>
      <c r="E1" s="24"/>
      <c r="F1" s="24"/>
      <c r="G1" s="24"/>
      <c r="H1" s="24"/>
      <c r="I1" s="24"/>
      <c r="J1" s="24"/>
      <c r="K1" s="24"/>
      <c r="L1" s="24"/>
      <c r="M1" s="24"/>
      <c r="N1" s="24"/>
      <c r="O1" s="24"/>
      <c r="P1" s="24"/>
      <c r="Q1" s="24"/>
    </row>
    <row r="2" spans="1:17" ht="17.25" customHeight="1" x14ac:dyDescent="0.25">
      <c r="A2" s="24"/>
      <c r="B2" s="25"/>
      <c r="C2" s="25"/>
      <c r="D2" s="25"/>
      <c r="E2" s="25"/>
      <c r="F2" s="25"/>
      <c r="G2" s="25"/>
      <c r="H2" s="25"/>
      <c r="I2" s="25"/>
      <c r="J2" s="25"/>
      <c r="K2" s="25"/>
      <c r="L2" s="25"/>
      <c r="M2" s="25"/>
      <c r="N2" s="25"/>
      <c r="O2" s="25"/>
      <c r="P2" s="25"/>
      <c r="Q2" s="25"/>
    </row>
    <row r="3" spans="1:17" ht="59.25" customHeight="1" x14ac:dyDescent="0.25">
      <c r="A3" s="20" t="s">
        <v>64</v>
      </c>
      <c r="B3" s="23" t="s">
        <v>63</v>
      </c>
      <c r="C3" s="23"/>
      <c r="D3" s="23"/>
      <c r="E3" s="23"/>
      <c r="F3" s="23"/>
      <c r="G3" s="23"/>
      <c r="H3" s="23"/>
      <c r="I3" s="23"/>
      <c r="J3" s="23"/>
      <c r="K3" s="23"/>
      <c r="L3" s="23"/>
      <c r="M3" s="23"/>
      <c r="N3" s="23"/>
      <c r="O3" s="23"/>
      <c r="P3" s="23"/>
      <c r="Q3" s="23"/>
    </row>
    <row r="4" spans="1:17" ht="223.5" customHeight="1" x14ac:dyDescent="0.25">
      <c r="A4" s="20" t="s">
        <v>69</v>
      </c>
      <c r="B4" s="23" t="s">
        <v>70</v>
      </c>
      <c r="C4" s="23"/>
      <c r="D4" s="23"/>
      <c r="E4" s="23"/>
      <c r="F4" s="23"/>
      <c r="G4" s="23"/>
      <c r="H4" s="23"/>
      <c r="I4" s="23"/>
      <c r="J4" s="23"/>
      <c r="K4" s="23"/>
      <c r="L4" s="23"/>
      <c r="M4" s="23"/>
      <c r="N4" s="23"/>
      <c r="O4" s="23"/>
      <c r="P4" s="23"/>
      <c r="Q4" s="23"/>
    </row>
    <row r="5" spans="1:17" ht="185.25" customHeight="1" x14ac:dyDescent="0.25">
      <c r="A5" s="20" t="s">
        <v>67</v>
      </c>
      <c r="B5" s="23" t="s">
        <v>71</v>
      </c>
      <c r="C5" s="23"/>
      <c r="D5" s="23"/>
      <c r="E5" s="23"/>
      <c r="F5" s="23"/>
      <c r="G5" s="23"/>
      <c r="H5" s="23"/>
      <c r="I5" s="23"/>
      <c r="J5" s="23"/>
      <c r="K5" s="23"/>
      <c r="L5" s="23"/>
      <c r="M5" s="23"/>
      <c r="N5" s="23"/>
      <c r="O5" s="23"/>
      <c r="P5" s="23"/>
      <c r="Q5" s="23"/>
    </row>
    <row r="6" spans="1:17" ht="129.75" customHeight="1" x14ac:dyDescent="0.25">
      <c r="A6" s="19" t="s">
        <v>72</v>
      </c>
      <c r="B6" s="23" t="s">
        <v>73</v>
      </c>
      <c r="C6" s="23"/>
      <c r="D6" s="23"/>
      <c r="E6" s="23"/>
      <c r="F6" s="23"/>
      <c r="G6" s="23"/>
      <c r="H6" s="23"/>
      <c r="I6" s="23"/>
      <c r="J6" s="23"/>
      <c r="K6" s="23"/>
      <c r="L6" s="23"/>
      <c r="M6" s="23"/>
      <c r="N6" s="23"/>
      <c r="O6" s="23"/>
      <c r="P6" s="23"/>
      <c r="Q6" s="23"/>
    </row>
    <row r="7" spans="1:17" ht="81.75" customHeight="1" x14ac:dyDescent="0.25">
      <c r="A7" s="19" t="s">
        <v>62</v>
      </c>
      <c r="B7" s="23" t="s">
        <v>61</v>
      </c>
      <c r="C7" s="23"/>
      <c r="D7" s="23"/>
      <c r="E7" s="23"/>
      <c r="F7" s="23"/>
      <c r="G7" s="23"/>
      <c r="H7" s="23"/>
      <c r="I7" s="23"/>
      <c r="J7" s="23"/>
      <c r="K7" s="23"/>
      <c r="L7" s="23"/>
      <c r="M7" s="23"/>
      <c r="N7" s="23"/>
      <c r="O7" s="23"/>
      <c r="P7" s="23"/>
      <c r="Q7" s="23"/>
    </row>
    <row r="8" spans="1:17" ht="69.75" customHeight="1" x14ac:dyDescent="0.25">
      <c r="A8" s="22" t="s">
        <v>60</v>
      </c>
      <c r="B8" s="23" t="s">
        <v>59</v>
      </c>
      <c r="C8" s="23"/>
      <c r="D8" s="23"/>
      <c r="E8" s="23"/>
      <c r="F8" s="23"/>
      <c r="G8" s="23"/>
      <c r="H8" s="23"/>
      <c r="I8" s="23"/>
      <c r="J8" s="23"/>
      <c r="K8" s="23"/>
      <c r="L8" s="23"/>
      <c r="M8" s="23"/>
      <c r="N8" s="23"/>
      <c r="O8" s="23"/>
      <c r="P8" s="23"/>
      <c r="Q8" s="23"/>
    </row>
    <row r="9" spans="1:17" ht="114" customHeight="1" x14ac:dyDescent="0.25">
      <c r="A9" s="19" t="s">
        <v>58</v>
      </c>
      <c r="B9" s="23" t="s">
        <v>66</v>
      </c>
      <c r="C9" s="23"/>
      <c r="D9" s="23"/>
      <c r="E9" s="23"/>
      <c r="F9" s="23"/>
      <c r="G9" s="23"/>
      <c r="H9" s="23"/>
      <c r="I9" s="23"/>
      <c r="J9" s="23"/>
      <c r="K9" s="23"/>
      <c r="L9" s="23"/>
      <c r="M9" s="23"/>
      <c r="N9" s="23"/>
      <c r="O9" s="23"/>
      <c r="P9" s="23"/>
      <c r="Q9" s="23"/>
    </row>
    <row r="10" spans="1:17" ht="137.25" customHeight="1" x14ac:dyDescent="0.25">
      <c r="B10" s="23" t="s">
        <v>57</v>
      </c>
      <c r="C10" s="23"/>
      <c r="D10" s="23"/>
      <c r="E10" s="23"/>
      <c r="F10" s="23"/>
      <c r="G10" s="23"/>
      <c r="H10" s="23"/>
      <c r="I10" s="23"/>
      <c r="J10" s="23"/>
      <c r="K10" s="23"/>
      <c r="L10" s="23"/>
      <c r="M10" s="23"/>
      <c r="N10" s="23"/>
      <c r="O10" s="23"/>
      <c r="P10" s="23"/>
      <c r="Q10" s="23"/>
    </row>
    <row r="11" spans="1:17" ht="15" customHeight="1" x14ac:dyDescent="0.25">
      <c r="B11" s="18"/>
      <c r="C11" s="18"/>
      <c r="D11" s="18"/>
      <c r="E11" s="18"/>
      <c r="F11" s="18"/>
      <c r="G11" s="18"/>
      <c r="H11" s="18"/>
      <c r="I11" s="18"/>
      <c r="J11" s="18"/>
      <c r="K11" s="18"/>
      <c r="L11" s="18"/>
      <c r="M11" s="18"/>
      <c r="N11" s="18"/>
      <c r="O11" s="18"/>
      <c r="P11" s="18"/>
      <c r="Q11" s="18"/>
    </row>
    <row r="12" spans="1:17" ht="15" customHeight="1" x14ac:dyDescent="0.25">
      <c r="A12" t="s">
        <v>56</v>
      </c>
    </row>
  </sheetData>
  <mergeCells count="10">
    <mergeCell ref="B8:Q8"/>
    <mergeCell ref="B7:Q7"/>
    <mergeCell ref="B9:Q9"/>
    <mergeCell ref="B10:Q10"/>
    <mergeCell ref="A1:Q1"/>
    <mergeCell ref="B3:Q3"/>
    <mergeCell ref="B4:Q4"/>
    <mergeCell ref="B5:Q5"/>
    <mergeCell ref="B6:Q6"/>
    <mergeCell ref="A2:Q2"/>
  </mergeCells>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9E958-6381-448F-A50C-C12A2C198DC6}">
  <sheetPr codeName="Sheet1"/>
  <dimension ref="A1:K24"/>
  <sheetViews>
    <sheetView tabSelected="1" workbookViewId="0">
      <selection activeCell="B12" sqref="A12:B12"/>
    </sheetView>
  </sheetViews>
  <sheetFormatPr defaultRowHeight="15" x14ac:dyDescent="0.25"/>
  <cols>
    <col min="1" max="1" width="40.7109375" customWidth="1"/>
    <col min="2" max="2" width="38" customWidth="1"/>
    <col min="3" max="3" width="43.140625" customWidth="1"/>
    <col min="4" max="11" width="25.140625" customWidth="1"/>
  </cols>
  <sheetData>
    <row r="1" spans="1:11" ht="39.950000000000003" customHeight="1" x14ac:dyDescent="0.3">
      <c r="A1" s="13"/>
      <c r="B1" s="11" t="s">
        <v>36</v>
      </c>
      <c r="C1" s="11" t="s">
        <v>37</v>
      </c>
      <c r="D1" s="2"/>
      <c r="E1" s="2"/>
      <c r="F1" s="2"/>
      <c r="G1" s="2"/>
      <c r="H1" s="2"/>
      <c r="I1" s="2"/>
      <c r="J1" s="2"/>
      <c r="K1" s="2"/>
    </row>
    <row r="2" spans="1:11" x14ac:dyDescent="0.25">
      <c r="A2" s="2" t="s">
        <v>38</v>
      </c>
      <c r="B2" s="16"/>
      <c r="C2" s="17"/>
      <c r="D2" s="2"/>
      <c r="E2" s="2"/>
      <c r="F2" s="2"/>
      <c r="G2" s="2"/>
      <c r="H2" s="2"/>
      <c r="I2" s="2"/>
      <c r="J2" s="2"/>
      <c r="K2" s="2"/>
    </row>
    <row r="3" spans="1:11" x14ac:dyDescent="0.25">
      <c r="A3" s="2" t="s">
        <v>13</v>
      </c>
      <c r="B3" s="16"/>
      <c r="C3" s="16"/>
    </row>
    <row r="4" spans="1:11" x14ac:dyDescent="0.25">
      <c r="A4" s="2" t="s">
        <v>12</v>
      </c>
      <c r="B4" s="16"/>
      <c r="C4" s="16"/>
    </row>
    <row r="5" spans="1:11" x14ac:dyDescent="0.25">
      <c r="A5" s="2"/>
      <c r="B5" s="16"/>
      <c r="C5" s="16"/>
    </row>
    <row r="6" spans="1:11" x14ac:dyDescent="0.25">
      <c r="A6" s="2" t="s">
        <v>5</v>
      </c>
      <c r="B6" s="1"/>
      <c r="C6" t="s">
        <v>39</v>
      </c>
    </row>
    <row r="7" spans="1:11" x14ac:dyDescent="0.25">
      <c r="A7" s="2" t="s">
        <v>44</v>
      </c>
      <c r="B7" s="1" t="s">
        <v>39</v>
      </c>
    </row>
    <row r="8" spans="1:11" ht="15.75" thickBot="1" x14ac:dyDescent="0.3">
      <c r="A8" s="2"/>
      <c r="B8" s="1"/>
    </row>
    <row r="9" spans="1:11" ht="16.5" thickTop="1" x14ac:dyDescent="0.25">
      <c r="A9" s="7" t="s">
        <v>40</v>
      </c>
      <c r="B9" s="8"/>
      <c r="C9" s="9"/>
    </row>
    <row r="10" spans="1:11" x14ac:dyDescent="0.25">
      <c r="A10" s="6" t="s">
        <v>46</v>
      </c>
      <c r="B10" s="3" t="str">
        <f>HYPERLINK("#ApplicationVisibility!AppVisA1","ApplicationVisibility")</f>
        <v>ApplicationVisibility</v>
      </c>
    </row>
    <row r="11" spans="1:11" x14ac:dyDescent="0.25">
      <c r="A11" s="6" t="s">
        <v>47</v>
      </c>
      <c r="B11" s="3" t="str">
        <f>HYPERLINK("#CategoryGroupVisibilities!DataCatA1","CategoryGroupVisibilities")</f>
        <v>CategoryGroupVisibilities</v>
      </c>
      <c r="C11" t="s">
        <v>48</v>
      </c>
    </row>
    <row r="12" spans="1:11" x14ac:dyDescent="0.25">
      <c r="A12" s="6" t="s">
        <v>46</v>
      </c>
      <c r="B12" s="3" t="str">
        <f>HYPERLINK("#ApexClassAccess!ApexClassA1","ApexClassAccess")</f>
        <v>ApexClassAccess</v>
      </c>
    </row>
    <row r="13" spans="1:11" x14ac:dyDescent="0.25">
      <c r="A13" s="6" t="s">
        <v>46</v>
      </c>
      <c r="B13" s="3" t="str">
        <f>HYPERLINK("#CustomPermissions!CustPermsA1","CustomPermissions")</f>
        <v>CustomPermissions</v>
      </c>
    </row>
    <row r="14" spans="1:11" x14ac:dyDescent="0.25">
      <c r="A14" s="6" t="s">
        <v>46</v>
      </c>
      <c r="B14" s="3" t="str">
        <f>HYPERLINK("#ExternalDataSourceAccesses!ExtDataSrcA1","ExternalDataSourceAccesses")</f>
        <v>ExternalDataSourceAccesses</v>
      </c>
    </row>
    <row r="15" spans="1:11" x14ac:dyDescent="0.25">
      <c r="A15" s="6" t="s">
        <v>46</v>
      </c>
      <c r="B15" s="3" t="str">
        <f>HYPERLINK("#FieldPermissions!FieldPermsA1","FieldPermissions")</f>
        <v>FieldPermissions</v>
      </c>
    </row>
    <row r="16" spans="1:11" x14ac:dyDescent="0.25">
      <c r="A16" s="6" t="s">
        <v>47</v>
      </c>
      <c r="B16" s="3" t="str">
        <f>HYPERLINK("#LayoutAssignments!LayoutAssignsA1","LayoutAssignments")</f>
        <v>LayoutAssignments</v>
      </c>
    </row>
    <row r="17" spans="1:2" x14ac:dyDescent="0.25">
      <c r="A17" s="6" t="s">
        <v>47</v>
      </c>
      <c r="B17" s="3" t="str">
        <f>HYPERLINK("#LoginHours!LoginHoursA1","LoginHours")</f>
        <v>LoginHours</v>
      </c>
    </row>
    <row r="18" spans="1:2" x14ac:dyDescent="0.25">
      <c r="A18" s="6" t="s">
        <v>47</v>
      </c>
      <c r="B18" s="3" t="str">
        <f>HYPERLINK("#LoginIpRanges!LoginIpRangesA1","LoginIpRanges")</f>
        <v>LoginIpRanges</v>
      </c>
    </row>
    <row r="19" spans="1:2" x14ac:dyDescent="0.25">
      <c r="A19" s="6" t="s">
        <v>46</v>
      </c>
      <c r="B19" s="3" t="str">
        <f>HYPERLINK("#ObjectPermissions!ObjectPermsA1","ObjectPermissions")</f>
        <v>ObjectPermissions</v>
      </c>
    </row>
    <row r="20" spans="1:2" x14ac:dyDescent="0.25">
      <c r="A20" s="6" t="s">
        <v>46</v>
      </c>
      <c r="B20" s="3" t="str">
        <f>HYPERLINK("#VfPageAccess!VfPageAccessA1","VfPageAccess")</f>
        <v>VfPageAccess</v>
      </c>
    </row>
    <row r="21" spans="1:2" x14ac:dyDescent="0.25">
      <c r="A21" s="6" t="s">
        <v>47</v>
      </c>
      <c r="B21" s="3" t="str">
        <f>HYPERLINK("#ProfileActionOverrides!ProfActionOverridesA1","ProfileActionOverrides")</f>
        <v>ProfileActionOverrides</v>
      </c>
    </row>
    <row r="22" spans="1:2" x14ac:dyDescent="0.25">
      <c r="A22" s="6" t="s">
        <v>46</v>
      </c>
      <c r="B22" s="3" t="str">
        <f>HYPERLINK("#RecordTypeVisibility!RecordTypeVisA1","RecordTypeVisibility")</f>
        <v>RecordTypeVisibility</v>
      </c>
    </row>
    <row r="23" spans="1:2" x14ac:dyDescent="0.25">
      <c r="A23" s="6" t="s">
        <v>46</v>
      </c>
      <c r="B23" s="3" t="str">
        <f>HYPERLINK("#TabVisibilities!TabVisA1","TabVisibilities")</f>
        <v>TabVisibilities</v>
      </c>
    </row>
    <row r="24" spans="1:2" x14ac:dyDescent="0.25">
      <c r="A24" s="6" t="s">
        <v>46</v>
      </c>
      <c r="B24" s="3" t="str">
        <f>HYPERLINK("#UserPermissions!UserPermsA1","UserPermissions")</f>
        <v>UserPermissions</v>
      </c>
    </row>
  </sheetData>
  <autoFilter ref="A9:A24" xr:uid="{9EF9B31E-3D70-4FE6-9FFE-17D6B5DDDFCA}"/>
  <pageMargins left="0.7" right="0.7" top="0.75" bottom="0.75" header="0.3" footer="0.3"/>
  <pageSetup orientation="portrait" horizontalDpi="0" verticalDpi="0" r:id="rId1"/>
  <ignoredErrors>
    <ignoredError sqref="B13 B18"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87556-FF5B-4C2F-9413-A291DDD607DF}">
  <sheetPr codeName="Sheet2"/>
  <dimension ref="A1:F10"/>
  <sheetViews>
    <sheetView workbookViewId="0">
      <selection activeCell="C5" sqref="A5:C5"/>
    </sheetView>
  </sheetViews>
  <sheetFormatPr defaultRowHeight="15" x14ac:dyDescent="0.25"/>
  <cols>
    <col min="1" max="1" width="40.7109375" customWidth="1"/>
    <col min="2" max="3" width="20.7109375" customWidth="1"/>
    <col min="4" max="4" width="25.7109375" customWidth="1"/>
    <col min="5" max="5" width="45.7109375" customWidth="1"/>
    <col min="6" max="6" width="16.7109375" customWidth="1"/>
  </cols>
  <sheetData>
    <row r="1" spans="1:6" ht="39.950000000000003" customHeight="1" x14ac:dyDescent="0.25">
      <c r="A1" s="12"/>
      <c r="B1" s="26" t="s">
        <v>50</v>
      </c>
      <c r="C1" s="26"/>
      <c r="D1" s="15" t="str">
        <f>HYPERLINK("#BasicInfo!ProfileNameA1","Back to Basic Info Tab")</f>
        <v>Back to Basic Info Tab</v>
      </c>
      <c r="F1" s="3"/>
    </row>
    <row r="2" spans="1:6" ht="18" customHeight="1" x14ac:dyDescent="0.3">
      <c r="A2" s="4"/>
      <c r="C2" s="3"/>
      <c r="D2" s="3"/>
      <c r="F2" s="3"/>
    </row>
    <row r="3" spans="1:6" ht="18" customHeight="1" x14ac:dyDescent="0.25">
      <c r="A3" s="5" t="s">
        <v>41</v>
      </c>
      <c r="C3" s="3"/>
      <c r="D3" s="3"/>
      <c r="F3" s="3"/>
    </row>
    <row r="4" spans="1:6" x14ac:dyDescent="0.25">
      <c r="A4" t="s">
        <v>18</v>
      </c>
      <c r="B4" t="s">
        <v>1</v>
      </c>
      <c r="C4" t="s">
        <v>0</v>
      </c>
    </row>
    <row r="5" spans="1:6" x14ac:dyDescent="0.25">
      <c r="A5" s="1"/>
    </row>
    <row r="6" spans="1:6" x14ac:dyDescent="0.25">
      <c r="A6" s="1"/>
    </row>
    <row r="8" spans="1:6" ht="15.75" x14ac:dyDescent="0.25">
      <c r="A8" s="5" t="s">
        <v>42</v>
      </c>
    </row>
    <row r="9" spans="1:6" x14ac:dyDescent="0.25">
      <c r="A9" t="s">
        <v>18</v>
      </c>
      <c r="B9" t="s">
        <v>1</v>
      </c>
    </row>
    <row r="10" spans="1:6" x14ac:dyDescent="0.25">
      <c r="A10" s="1"/>
    </row>
  </sheetData>
  <mergeCells count="1">
    <mergeCell ref="B1:C1"/>
  </mergeCells>
  <dataValidations count="1">
    <dataValidation type="list" allowBlank="1" showInputMessage="1" showErrorMessage="1" sqref="B5:C6 B10:B11" xr:uid="{944FC019-A69F-42A1-AA3D-44F3F2AC12AD}">
      <formula1>"TRUE,FALSE"</formula1>
    </dataValidation>
  </dataValidations>
  <pageMargins left="0.7" right="0.7" top="0.75" bottom="0.75" header="0.3" footer="0.3"/>
  <pageSetup orientation="portrait" horizontalDpi="0" verticalDpi="0"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040FC-B509-419C-BC72-15E569CC80D0}">
  <sheetPr codeName="Sheet3"/>
  <dimension ref="A1:I9"/>
  <sheetViews>
    <sheetView workbookViewId="0"/>
  </sheetViews>
  <sheetFormatPr defaultRowHeight="15" x14ac:dyDescent="0.25"/>
  <cols>
    <col min="1" max="1" width="40.7109375" customWidth="1"/>
    <col min="2" max="3" width="20.7109375" customWidth="1"/>
    <col min="4" max="4" width="25.7109375" customWidth="1"/>
  </cols>
  <sheetData>
    <row r="1" spans="1:9" ht="33.75" customHeight="1" x14ac:dyDescent="0.25">
      <c r="A1" s="12"/>
      <c r="D1" s="15" t="str">
        <f>HYPERLINK("#BasicInfo!ProfileNameA1","Back to Basic Info Tab")</f>
        <v>Back to Basic Info Tab</v>
      </c>
    </row>
    <row r="2" spans="1:9" ht="18.75" x14ac:dyDescent="0.3">
      <c r="A2" s="4"/>
      <c r="D2" s="3"/>
    </row>
    <row r="3" spans="1:9" ht="15.75" x14ac:dyDescent="0.25">
      <c r="A3" s="5" t="s">
        <v>43</v>
      </c>
      <c r="D3" s="3"/>
    </row>
    <row r="4" spans="1:9" ht="15.75" x14ac:dyDescent="0.25">
      <c r="A4" s="5" t="s">
        <v>68</v>
      </c>
      <c r="B4" t="s">
        <v>11</v>
      </c>
      <c r="D4" s="3"/>
    </row>
    <row r="5" spans="1:9" ht="15.75" x14ac:dyDescent="0.25">
      <c r="A5" s="21"/>
      <c r="B5" s="1"/>
      <c r="D5" s="3"/>
    </row>
    <row r="6" spans="1:9" ht="15.75" x14ac:dyDescent="0.25">
      <c r="A6" s="5"/>
      <c r="D6" s="3"/>
    </row>
    <row r="7" spans="1:9" ht="15.75" x14ac:dyDescent="0.25">
      <c r="A7" s="5"/>
      <c r="D7" s="3"/>
    </row>
    <row r="8" spans="1:9" ht="36.75" customHeight="1" x14ac:dyDescent="0.25">
      <c r="A8" s="23" t="s">
        <v>49</v>
      </c>
      <c r="B8" s="27"/>
      <c r="C8" s="27"/>
      <c r="D8" s="27"/>
      <c r="E8" s="27"/>
      <c r="F8" s="27"/>
      <c r="G8" s="27"/>
      <c r="H8" s="27"/>
      <c r="I8" s="27"/>
    </row>
    <row r="9" spans="1:9" x14ac:dyDescent="0.25">
      <c r="D9" s="10"/>
    </row>
  </sheetData>
  <mergeCells count="1">
    <mergeCell ref="A8:I8"/>
  </mergeCells>
  <dataValidations count="1">
    <dataValidation type="list" allowBlank="1" showInputMessage="1" showErrorMessage="1" sqref="B5:B6" xr:uid="{28CC8B9B-8FCE-4F3F-9BAA-B1EA2C098B0F}">
      <formula1>"TRUE,FALSE"</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82CA3-A591-4529-8DAF-F455F42FC839}">
  <sheetPr codeName="Sheet4"/>
  <dimension ref="A1:D10"/>
  <sheetViews>
    <sheetView workbookViewId="0"/>
  </sheetViews>
  <sheetFormatPr defaultRowHeight="15" x14ac:dyDescent="0.25"/>
  <cols>
    <col min="1" max="1" width="40.7109375" customWidth="1"/>
    <col min="2" max="3" width="20.7109375" customWidth="1"/>
    <col min="4" max="4" width="25.7109375" customWidth="1"/>
    <col min="5" max="5" width="45.7109375" customWidth="1"/>
  </cols>
  <sheetData>
    <row r="1" spans="1:4" ht="39.950000000000003" customHeight="1" x14ac:dyDescent="0.25">
      <c r="A1" s="12"/>
      <c r="B1" s="26" t="s">
        <v>51</v>
      </c>
      <c r="C1" s="26"/>
      <c r="D1" s="15" t="str">
        <f>HYPERLINK("#BasicInfo!ProfileNameA1","Back to Basic Info Tab")</f>
        <v>Back to Basic Info Tab</v>
      </c>
    </row>
    <row r="2" spans="1:4" ht="18.75" x14ac:dyDescent="0.3">
      <c r="A2" s="4"/>
      <c r="D2" s="3"/>
    </row>
    <row r="3" spans="1:4" ht="15.75" x14ac:dyDescent="0.25">
      <c r="A3" s="5" t="s">
        <v>41</v>
      </c>
      <c r="D3" s="3"/>
    </row>
    <row r="4" spans="1:4" x14ac:dyDescent="0.25">
      <c r="A4" t="s">
        <v>17</v>
      </c>
      <c r="B4" t="s">
        <v>2</v>
      </c>
    </row>
    <row r="5" spans="1:4" x14ac:dyDescent="0.25">
      <c r="A5" s="1"/>
    </row>
    <row r="6" spans="1:4" x14ac:dyDescent="0.25">
      <c r="A6" s="1"/>
    </row>
    <row r="8" spans="1:4" ht="15.75" x14ac:dyDescent="0.25">
      <c r="A8" s="5" t="s">
        <v>42</v>
      </c>
    </row>
    <row r="9" spans="1:4" x14ac:dyDescent="0.25">
      <c r="A9" t="s">
        <v>17</v>
      </c>
      <c r="B9" t="s">
        <v>2</v>
      </c>
    </row>
    <row r="10" spans="1:4" x14ac:dyDescent="0.25">
      <c r="A10" s="1"/>
    </row>
  </sheetData>
  <mergeCells count="1">
    <mergeCell ref="B1:C1"/>
  </mergeCells>
  <dataValidations count="1">
    <dataValidation type="list" allowBlank="1" showInputMessage="1" showErrorMessage="1" sqref="B5:B6 B10:B11" xr:uid="{76F5ECBB-C641-4B7D-8272-DE7D1A79D7D0}">
      <formula1>"TRUE,FALSE"</formula1>
    </dataValidation>
  </dataValidations>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790D7-621A-4E13-9E44-55C638BF73E9}">
  <sheetPr codeName="Sheet5"/>
  <dimension ref="A1:D10"/>
  <sheetViews>
    <sheetView workbookViewId="0"/>
  </sheetViews>
  <sheetFormatPr defaultRowHeight="15" x14ac:dyDescent="0.25"/>
  <cols>
    <col min="1" max="1" width="40.7109375" customWidth="1"/>
    <col min="2" max="3" width="20.7109375" customWidth="1"/>
    <col min="4" max="4" width="25.85546875" customWidth="1"/>
    <col min="5" max="5" width="45.7109375" customWidth="1"/>
  </cols>
  <sheetData>
    <row r="1" spans="1:4" ht="39.950000000000003" customHeight="1" x14ac:dyDescent="0.25">
      <c r="A1" s="12"/>
      <c r="B1" s="26" t="s">
        <v>51</v>
      </c>
      <c r="C1" s="26"/>
      <c r="D1" s="15" t="str">
        <f>HYPERLINK("#BasicInfo!ProfileNameA1","Back to Basic Info Tab")</f>
        <v>Back to Basic Info Tab</v>
      </c>
    </row>
    <row r="2" spans="1:4" ht="18.75" x14ac:dyDescent="0.3">
      <c r="A2" s="4"/>
      <c r="D2" s="3"/>
    </row>
    <row r="3" spans="1:4" ht="15.75" x14ac:dyDescent="0.25">
      <c r="A3" s="5" t="s">
        <v>41</v>
      </c>
      <c r="D3" s="3"/>
    </row>
    <row r="4" spans="1:4" x14ac:dyDescent="0.25">
      <c r="A4" t="s">
        <v>16</v>
      </c>
      <c r="B4" t="s">
        <v>2</v>
      </c>
    </row>
    <row r="5" spans="1:4" x14ac:dyDescent="0.25">
      <c r="A5" s="1"/>
    </row>
    <row r="6" spans="1:4" x14ac:dyDescent="0.25">
      <c r="A6" s="1"/>
    </row>
    <row r="8" spans="1:4" ht="15.75" x14ac:dyDescent="0.25">
      <c r="A8" s="5" t="s">
        <v>42</v>
      </c>
    </row>
    <row r="9" spans="1:4" x14ac:dyDescent="0.25">
      <c r="A9" t="s">
        <v>16</v>
      </c>
      <c r="B9" t="s">
        <v>2</v>
      </c>
    </row>
    <row r="10" spans="1:4" x14ac:dyDescent="0.25">
      <c r="A10" s="1"/>
    </row>
  </sheetData>
  <mergeCells count="1">
    <mergeCell ref="B1:C1"/>
  </mergeCells>
  <dataValidations count="1">
    <dataValidation type="list" allowBlank="1" showInputMessage="1" showErrorMessage="1" sqref="B5:B6 B10:B11" xr:uid="{02EA5592-E174-49F3-8DC5-18EEF7B2017E}">
      <formula1>"TRUE,FALSE"</formula1>
    </dataValidation>
  </dataValidations>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CF9F4-6A86-4DD0-B014-8187D71D5BEA}">
  <sheetPr codeName="Sheet6"/>
  <dimension ref="A1:D10"/>
  <sheetViews>
    <sheetView workbookViewId="0"/>
  </sheetViews>
  <sheetFormatPr defaultRowHeight="15" x14ac:dyDescent="0.25"/>
  <cols>
    <col min="1" max="1" width="40.7109375" customWidth="1"/>
    <col min="2" max="3" width="20.7109375" customWidth="1"/>
    <col min="4" max="4" width="25.7109375" customWidth="1"/>
    <col min="5" max="5" width="45.7109375" customWidth="1"/>
  </cols>
  <sheetData>
    <row r="1" spans="1:4" ht="39.950000000000003" customHeight="1" x14ac:dyDescent="0.25">
      <c r="A1" s="12"/>
      <c r="B1" s="26" t="s">
        <v>51</v>
      </c>
      <c r="C1" s="26"/>
      <c r="D1" s="15" t="str">
        <f>HYPERLINK("#BasicInfo!ProfileNameA1","Back to Basic Info Tab")</f>
        <v>Back to Basic Info Tab</v>
      </c>
    </row>
    <row r="2" spans="1:4" ht="18.75" x14ac:dyDescent="0.3">
      <c r="A2" s="4"/>
      <c r="D2" s="3"/>
    </row>
    <row r="3" spans="1:4" ht="15.75" x14ac:dyDescent="0.25">
      <c r="A3" s="5" t="s">
        <v>41</v>
      </c>
      <c r="D3" s="3"/>
    </row>
    <row r="4" spans="1:4" x14ac:dyDescent="0.25">
      <c r="A4" t="s">
        <v>15</v>
      </c>
      <c r="B4" t="s">
        <v>2</v>
      </c>
    </row>
    <row r="5" spans="1:4" x14ac:dyDescent="0.25">
      <c r="A5" s="1"/>
    </row>
    <row r="6" spans="1:4" x14ac:dyDescent="0.25">
      <c r="A6" s="1"/>
    </row>
    <row r="8" spans="1:4" ht="15.75" x14ac:dyDescent="0.25">
      <c r="A8" s="5" t="s">
        <v>42</v>
      </c>
    </row>
    <row r="9" spans="1:4" x14ac:dyDescent="0.25">
      <c r="A9" t="s">
        <v>15</v>
      </c>
      <c r="B9" t="s">
        <v>2</v>
      </c>
    </row>
    <row r="10" spans="1:4" x14ac:dyDescent="0.25">
      <c r="A10" s="1"/>
    </row>
  </sheetData>
  <mergeCells count="1">
    <mergeCell ref="B1:C1"/>
  </mergeCells>
  <dataValidations count="1">
    <dataValidation type="list" allowBlank="1" showInputMessage="1" showErrorMessage="1" sqref="B5:B6 B10:B11" xr:uid="{6A299181-C6F1-4586-A567-D265EA1AB383}">
      <formula1>"TRUE,FALSE"</formula1>
    </dataValidation>
  </dataValidations>
  <pageMargins left="0.7" right="0.7" top="0.75" bottom="0.75"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4B3BB-1ECE-45A9-A846-AAC9D9C61212}">
  <sheetPr codeName="Sheet7"/>
  <dimension ref="A1:D10"/>
  <sheetViews>
    <sheetView workbookViewId="0"/>
  </sheetViews>
  <sheetFormatPr defaultRowHeight="15" x14ac:dyDescent="0.25"/>
  <cols>
    <col min="1" max="1" width="40.7109375" customWidth="1"/>
    <col min="2" max="3" width="20.7109375" customWidth="1"/>
    <col min="4" max="4" width="21.140625" customWidth="1"/>
  </cols>
  <sheetData>
    <row r="1" spans="1:4" ht="39.950000000000003" customHeight="1" x14ac:dyDescent="0.25">
      <c r="A1" s="12"/>
      <c r="B1" s="26" t="s">
        <v>52</v>
      </c>
      <c r="C1" s="26"/>
      <c r="D1" s="15" t="str">
        <f>HYPERLINK("#BasicInfo!ProfileNameA1","Back to Basic Info Tab")</f>
        <v>Back to Basic Info Tab</v>
      </c>
    </row>
    <row r="2" spans="1:4" ht="19.5" customHeight="1" x14ac:dyDescent="0.3">
      <c r="A2" s="4"/>
      <c r="D2" s="3"/>
    </row>
    <row r="3" spans="1:4" ht="19.5" customHeight="1" x14ac:dyDescent="0.25">
      <c r="A3" s="5" t="s">
        <v>41</v>
      </c>
      <c r="D3" s="3"/>
    </row>
    <row r="4" spans="1:4" x14ac:dyDescent="0.25">
      <c r="A4" t="s">
        <v>14</v>
      </c>
      <c r="B4" t="s">
        <v>4</v>
      </c>
      <c r="C4" t="s">
        <v>3</v>
      </c>
    </row>
    <row r="5" spans="1:4" x14ac:dyDescent="0.25">
      <c r="A5" s="1"/>
    </row>
    <row r="6" spans="1:4" x14ac:dyDescent="0.25">
      <c r="A6" s="1"/>
    </row>
    <row r="8" spans="1:4" ht="15.75" x14ac:dyDescent="0.25">
      <c r="A8" s="5" t="s">
        <v>42</v>
      </c>
    </row>
    <row r="9" spans="1:4" x14ac:dyDescent="0.25">
      <c r="A9" t="s">
        <v>14</v>
      </c>
      <c r="B9" t="s">
        <v>4</v>
      </c>
      <c r="C9" t="s">
        <v>3</v>
      </c>
    </row>
    <row r="10" spans="1:4" x14ac:dyDescent="0.25">
      <c r="A10" s="1"/>
    </row>
  </sheetData>
  <mergeCells count="1">
    <mergeCell ref="B1:C1"/>
  </mergeCells>
  <dataValidations count="1">
    <dataValidation type="list" allowBlank="1" showInputMessage="1" showErrorMessage="1" sqref="B5:C6 B10:C11" xr:uid="{2E072D4A-FE5E-488D-9F97-B1FAC78284E8}">
      <formula1>"TRUE,FALSE"</formula1>
    </dataValidation>
  </dataValidations>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EABC0-8FDF-45EC-94A0-8F293A2C983E}">
  <sheetPr codeName="Sheet8"/>
  <dimension ref="A1:D5"/>
  <sheetViews>
    <sheetView workbookViewId="0"/>
  </sheetViews>
  <sheetFormatPr defaultRowHeight="15" x14ac:dyDescent="0.25"/>
  <cols>
    <col min="1" max="1" width="40.7109375" customWidth="1"/>
    <col min="2" max="3" width="20.7109375" customWidth="1"/>
    <col min="4" max="4" width="23.140625" customWidth="1"/>
  </cols>
  <sheetData>
    <row r="1" spans="1:4" ht="39.950000000000003" customHeight="1" x14ac:dyDescent="0.25">
      <c r="A1" s="12"/>
      <c r="D1" s="15" t="str">
        <f>HYPERLINK("#BasicInfo!ProfileNameA1","Back to Basic Info Tab")</f>
        <v>Back to Basic Info Tab</v>
      </c>
    </row>
    <row r="2" spans="1:4" ht="18.75" x14ac:dyDescent="0.3">
      <c r="A2" s="4"/>
      <c r="D2" s="3"/>
    </row>
    <row r="3" spans="1:4" ht="15.75" x14ac:dyDescent="0.25">
      <c r="A3" s="5" t="s">
        <v>43</v>
      </c>
      <c r="D3" s="3"/>
    </row>
    <row r="4" spans="1:4" x14ac:dyDescent="0.25">
      <c r="A4" t="s">
        <v>19</v>
      </c>
      <c r="B4" t="s">
        <v>20</v>
      </c>
    </row>
    <row r="5" spans="1:4" x14ac:dyDescent="0.25">
      <c r="A5" s="1"/>
      <c r="B5" s="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A4E9C-9396-498F-B5E7-88A15855E316}">
  <sheetPr codeName="Sheet9"/>
  <dimension ref="A1:D5"/>
  <sheetViews>
    <sheetView workbookViewId="0"/>
  </sheetViews>
  <sheetFormatPr defaultRowHeight="15" x14ac:dyDescent="0.25"/>
  <cols>
    <col min="1" max="1" width="40.7109375" customWidth="1"/>
    <col min="2" max="3" width="20.7109375" customWidth="1"/>
    <col min="4" max="4" width="22.140625" customWidth="1"/>
  </cols>
  <sheetData>
    <row r="1" spans="1:4" ht="39.950000000000003" customHeight="1" x14ac:dyDescent="0.25">
      <c r="A1" s="12"/>
      <c r="D1" s="15" t="str">
        <f>HYPERLINK("#BasicInfo!ProfileNameA1","Back to Basic Info Tab")</f>
        <v>Back to Basic Info Tab</v>
      </c>
    </row>
    <row r="2" spans="1:4" ht="18.75" x14ac:dyDescent="0.3">
      <c r="A2" s="4"/>
      <c r="D2" s="3"/>
    </row>
    <row r="3" spans="1:4" ht="15.75" x14ac:dyDescent="0.25">
      <c r="A3" s="5" t="s">
        <v>43</v>
      </c>
      <c r="D3" s="3"/>
    </row>
    <row r="4" spans="1:4" x14ac:dyDescent="0.25">
      <c r="A4" t="s">
        <v>21</v>
      </c>
      <c r="B4" t="s">
        <v>22</v>
      </c>
    </row>
    <row r="5" spans="1:4" x14ac:dyDescent="0.25">
      <c r="A5" s="1"/>
      <c r="B5" s="1"/>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E53C7-BBE9-45E1-BD09-2D153059AB34}">
  <sheetPr codeName="Sheet10"/>
  <dimension ref="A1:D5"/>
  <sheetViews>
    <sheetView workbookViewId="0"/>
  </sheetViews>
  <sheetFormatPr defaultRowHeight="15" x14ac:dyDescent="0.25"/>
  <cols>
    <col min="1" max="1" width="40.7109375" customWidth="1"/>
    <col min="2" max="3" width="20.7109375" customWidth="1"/>
    <col min="4" max="4" width="22.140625" customWidth="1"/>
  </cols>
  <sheetData>
    <row r="1" spans="1:4" ht="39.950000000000003" customHeight="1" x14ac:dyDescent="0.25">
      <c r="A1" s="12"/>
      <c r="D1" s="15" t="str">
        <f>HYPERLINK("#BasicInfo!ProfileNameA1","Back to Basic Info Tab")</f>
        <v>Back to Basic Info Tab</v>
      </c>
    </row>
    <row r="2" spans="1:4" ht="18.75" x14ac:dyDescent="0.3">
      <c r="A2" s="4"/>
      <c r="D2" s="3"/>
    </row>
    <row r="3" spans="1:4" ht="15.75" x14ac:dyDescent="0.25">
      <c r="A3" s="5" t="s">
        <v>43</v>
      </c>
      <c r="D3" s="3"/>
    </row>
    <row r="4" spans="1:4" x14ac:dyDescent="0.25">
      <c r="A4" t="s">
        <v>23</v>
      </c>
      <c r="B4" t="s">
        <v>24</v>
      </c>
      <c r="C4" t="s">
        <v>25</v>
      </c>
    </row>
    <row r="5" spans="1:4" x14ac:dyDescent="0.25">
      <c r="A5" s="1"/>
      <c r="B5" s="1"/>
      <c r="C5" s="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AD839-44D7-4656-9A3B-7F51A9B05A9B}">
  <sheetPr codeName="Sheet11"/>
  <dimension ref="A1:G10"/>
  <sheetViews>
    <sheetView workbookViewId="0"/>
  </sheetViews>
  <sheetFormatPr defaultRowHeight="15" x14ac:dyDescent="0.25"/>
  <cols>
    <col min="1" max="1" width="40.7109375" customWidth="1"/>
    <col min="2" max="5" width="20.7109375" customWidth="1"/>
    <col min="6" max="6" width="19.42578125" customWidth="1"/>
    <col min="7" max="7" width="19.140625" bestFit="1" customWidth="1"/>
  </cols>
  <sheetData>
    <row r="1" spans="1:7" ht="39.950000000000003" customHeight="1" x14ac:dyDescent="0.25">
      <c r="A1" s="12"/>
      <c r="B1" s="28" t="s">
        <v>53</v>
      </c>
      <c r="C1" s="28"/>
      <c r="D1" s="26"/>
      <c r="E1" s="15" t="str">
        <f>HYPERLINK("#BasicInfo!ProfileNameA1","Back to Basic Info Tab")</f>
        <v>Back to Basic Info Tab</v>
      </c>
    </row>
    <row r="2" spans="1:7" ht="18.75" x14ac:dyDescent="0.3">
      <c r="A2" s="4"/>
      <c r="D2" s="3"/>
    </row>
    <row r="3" spans="1:7" ht="15.75" x14ac:dyDescent="0.25">
      <c r="A3" s="5" t="s">
        <v>41</v>
      </c>
      <c r="D3" s="3"/>
    </row>
    <row r="4" spans="1:7" x14ac:dyDescent="0.25">
      <c r="A4" t="s">
        <v>45</v>
      </c>
      <c r="B4" t="s">
        <v>26</v>
      </c>
      <c r="C4" t="s">
        <v>27</v>
      </c>
      <c r="D4" t="s">
        <v>28</v>
      </c>
      <c r="E4" t="s">
        <v>29</v>
      </c>
      <c r="F4" t="s">
        <v>30</v>
      </c>
      <c r="G4" t="s">
        <v>31</v>
      </c>
    </row>
    <row r="5" spans="1:7" x14ac:dyDescent="0.25">
      <c r="A5" s="1"/>
      <c r="B5" s="1"/>
      <c r="C5" s="1"/>
      <c r="D5" s="1"/>
      <c r="E5" s="1"/>
      <c r="F5" s="1"/>
      <c r="G5" s="1"/>
    </row>
    <row r="6" spans="1:7" x14ac:dyDescent="0.25">
      <c r="A6" s="1"/>
      <c r="B6" s="1"/>
      <c r="C6" s="1"/>
      <c r="D6" s="1"/>
      <c r="E6" s="1"/>
      <c r="F6" s="1"/>
      <c r="G6" s="1"/>
    </row>
    <row r="8" spans="1:7" ht="15.75" x14ac:dyDescent="0.25">
      <c r="A8" s="5" t="s">
        <v>42</v>
      </c>
    </row>
    <row r="9" spans="1:7" x14ac:dyDescent="0.25">
      <c r="A9" t="s">
        <v>45</v>
      </c>
      <c r="B9" t="s">
        <v>26</v>
      </c>
      <c r="C9" t="s">
        <v>27</v>
      </c>
      <c r="D9" t="s">
        <v>28</v>
      </c>
      <c r="E9" t="s">
        <v>29</v>
      </c>
      <c r="F9" t="s">
        <v>30</v>
      </c>
      <c r="G9" t="s">
        <v>31</v>
      </c>
    </row>
    <row r="10" spans="1:7" x14ac:dyDescent="0.25">
      <c r="A10" s="1"/>
    </row>
  </sheetData>
  <mergeCells count="1">
    <mergeCell ref="B1:D1"/>
  </mergeCells>
  <dataValidations count="1">
    <dataValidation type="list" allowBlank="1" showInputMessage="1" showErrorMessage="1" sqref="B5:G6 B10:G11" xr:uid="{AFAC31EE-2F8F-4461-B67F-342F203D4DFD}">
      <formula1>"TRUE,FALSE"</formula1>
    </dataValidation>
  </dataValidations>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3D1D5-ECBA-431C-B17E-D643D0AEF107}">
  <sheetPr codeName="Sheet12"/>
  <dimension ref="A1:D10"/>
  <sheetViews>
    <sheetView workbookViewId="0"/>
  </sheetViews>
  <sheetFormatPr defaultRowHeight="15" x14ac:dyDescent="0.25"/>
  <cols>
    <col min="1" max="1" width="40.7109375" customWidth="1"/>
    <col min="2" max="3" width="20.7109375" customWidth="1"/>
    <col min="4" max="4" width="21.7109375" customWidth="1"/>
    <col min="5" max="5" width="23.42578125" customWidth="1"/>
  </cols>
  <sheetData>
    <row r="1" spans="1:4" ht="39.950000000000003" customHeight="1" x14ac:dyDescent="0.25">
      <c r="A1" s="12"/>
      <c r="B1" s="26" t="s">
        <v>51</v>
      </c>
      <c r="C1" s="26"/>
      <c r="D1" s="15" t="str">
        <f>HYPERLINK("#BasicInfo!ProfileNameA1","Back to Basic Info Tab")</f>
        <v>Back to Basic Info Tab</v>
      </c>
    </row>
    <row r="2" spans="1:4" ht="18.75" x14ac:dyDescent="0.3">
      <c r="A2" s="4"/>
      <c r="D2" s="3"/>
    </row>
    <row r="3" spans="1:4" ht="15.75" x14ac:dyDescent="0.25">
      <c r="A3" s="5" t="s">
        <v>41</v>
      </c>
      <c r="D3" s="3"/>
    </row>
    <row r="4" spans="1:4" x14ac:dyDescent="0.25">
      <c r="A4" t="s">
        <v>32</v>
      </c>
      <c r="B4" t="s">
        <v>2</v>
      </c>
    </row>
    <row r="5" spans="1:4" x14ac:dyDescent="0.25">
      <c r="A5" s="1"/>
    </row>
    <row r="6" spans="1:4" x14ac:dyDescent="0.25">
      <c r="A6" s="1"/>
    </row>
    <row r="8" spans="1:4" ht="15.75" x14ac:dyDescent="0.25">
      <c r="A8" s="5" t="s">
        <v>42</v>
      </c>
    </row>
    <row r="9" spans="1:4" x14ac:dyDescent="0.25">
      <c r="A9" t="s">
        <v>32</v>
      </c>
      <c r="B9" t="s">
        <v>2</v>
      </c>
    </row>
    <row r="10" spans="1:4" x14ac:dyDescent="0.25">
      <c r="A10" s="1"/>
    </row>
  </sheetData>
  <mergeCells count="1">
    <mergeCell ref="B1:C1"/>
  </mergeCells>
  <dataValidations count="1">
    <dataValidation type="list" allowBlank="1" showInputMessage="1" showErrorMessage="1" sqref="B5:B6 B10:B11" xr:uid="{52FF345B-3C1A-44B9-A848-DEF7C85245E7}">
      <formula1>"TRUE,FALSE"</formula1>
    </dataValidation>
  </dataValidations>
  <pageMargins left="0.7" right="0.7" top="0.75" bottom="0.75" header="0.3" footer="0.3"/>
  <tableParts count="2">
    <tablePart r:id="rId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D721E-D3B8-4EF2-B0F6-92AFFB6A9405}">
  <sheetPr codeName="Sheet13"/>
  <dimension ref="A1:E4"/>
  <sheetViews>
    <sheetView workbookViewId="0"/>
  </sheetViews>
  <sheetFormatPr defaultRowHeight="15" x14ac:dyDescent="0.25"/>
  <cols>
    <col min="1" max="1" width="40.7109375" customWidth="1"/>
    <col min="2" max="3" width="20.7109375" customWidth="1"/>
    <col min="4" max="4" width="14.7109375" bestFit="1" customWidth="1"/>
    <col min="5" max="5" width="9.5703125" bestFit="1" customWidth="1"/>
  </cols>
  <sheetData>
    <row r="1" spans="1:5" ht="39.950000000000003" customHeight="1" x14ac:dyDescent="0.25">
      <c r="A1" s="12"/>
      <c r="D1" s="15" t="str">
        <f>HYPERLINK("#BasicInfo!ProfileNameA1","Back to Basic Info Tab")</f>
        <v>Back to Basic Info Tab</v>
      </c>
    </row>
    <row r="2" spans="1:5" ht="18.75" x14ac:dyDescent="0.3">
      <c r="A2" s="4"/>
      <c r="D2" s="3"/>
    </row>
    <row r="3" spans="1:5" ht="15.75" x14ac:dyDescent="0.25">
      <c r="A3" s="5" t="s">
        <v>43</v>
      </c>
      <c r="D3" s="3"/>
    </row>
    <row r="4" spans="1:5" x14ac:dyDescent="0.25">
      <c r="A4" s="14" t="s">
        <v>6</v>
      </c>
      <c r="B4" s="14" t="s">
        <v>7</v>
      </c>
      <c r="C4" s="14" t="s">
        <v>8</v>
      </c>
      <c r="D4" s="14" t="s">
        <v>9</v>
      </c>
      <c r="E4" s="14" t="s">
        <v>10</v>
      </c>
    </row>
  </sheetData>
  <pageMargins left="0.7" right="0.7" top="0.75" bottom="0.75" header="0.3" footer="0.3"/>
  <pageSetup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0BB1F-55D8-48BD-880A-CD299A3BD17C}">
  <sheetPr codeName="Sheet14"/>
  <dimension ref="A1:D10"/>
  <sheetViews>
    <sheetView workbookViewId="0"/>
  </sheetViews>
  <sheetFormatPr defaultRowHeight="15" x14ac:dyDescent="0.25"/>
  <cols>
    <col min="1" max="1" width="40.7109375" customWidth="1"/>
    <col min="2" max="3" width="20.7109375" customWidth="1"/>
    <col min="4" max="4" width="23.42578125" bestFit="1" customWidth="1"/>
    <col min="5" max="5" width="13.28515625" bestFit="1" customWidth="1"/>
    <col min="7" max="7" width="23.42578125" bestFit="1" customWidth="1"/>
  </cols>
  <sheetData>
    <row r="1" spans="1:4" ht="39.950000000000003" customHeight="1" x14ac:dyDescent="0.25">
      <c r="A1" s="12"/>
      <c r="B1" s="26" t="s">
        <v>54</v>
      </c>
      <c r="C1" s="26"/>
      <c r="D1" s="15" t="str">
        <f>HYPERLINK("#BasicInfo!ProfileNameA1","Back to Basic Info Tab")</f>
        <v>Back to Basic Info Tab</v>
      </c>
    </row>
    <row r="2" spans="1:4" ht="18.75" x14ac:dyDescent="0.3">
      <c r="A2" s="4"/>
      <c r="D2" s="3"/>
    </row>
    <row r="3" spans="1:4" ht="15.75" x14ac:dyDescent="0.25">
      <c r="A3" s="5" t="s">
        <v>41</v>
      </c>
      <c r="D3" s="3"/>
    </row>
    <row r="4" spans="1:4" x14ac:dyDescent="0.25">
      <c r="A4" t="s">
        <v>20</v>
      </c>
      <c r="B4" t="s">
        <v>1</v>
      </c>
      <c r="C4" t="s">
        <v>0</v>
      </c>
      <c r="D4" t="s">
        <v>33</v>
      </c>
    </row>
    <row r="5" spans="1:4" x14ac:dyDescent="0.25">
      <c r="A5" s="1"/>
    </row>
    <row r="6" spans="1:4" x14ac:dyDescent="0.25">
      <c r="A6" s="1"/>
    </row>
    <row r="8" spans="1:4" ht="15.75" x14ac:dyDescent="0.25">
      <c r="A8" s="5" t="s">
        <v>42</v>
      </c>
    </row>
    <row r="9" spans="1:4" x14ac:dyDescent="0.25">
      <c r="A9" t="s">
        <v>20</v>
      </c>
      <c r="B9" t="s">
        <v>1</v>
      </c>
    </row>
    <row r="10" spans="1:4" x14ac:dyDescent="0.25">
      <c r="A10" s="1"/>
    </row>
  </sheetData>
  <mergeCells count="1">
    <mergeCell ref="B1:C1"/>
  </mergeCells>
  <dataValidations count="1">
    <dataValidation type="list" allowBlank="1" showInputMessage="1" showErrorMessage="1" sqref="B5:D6 B10:B11" xr:uid="{7EDEFFE1-2A77-4034-9E53-A16547550564}">
      <formula1>"TRUE,FALSE"</formula1>
    </dataValidation>
  </dataValidations>
  <pageMargins left="0.7" right="0.7" top="0.75" bottom="0.75" header="0.3" footer="0.3"/>
  <tableParts count="2">
    <tablePart r:id="rId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B09FB-B403-4AC8-8731-72E32F44DBA2}">
  <sheetPr codeName="Sheet15"/>
  <dimension ref="A1:D10"/>
  <sheetViews>
    <sheetView workbookViewId="0"/>
  </sheetViews>
  <sheetFormatPr defaultRowHeight="15" x14ac:dyDescent="0.25"/>
  <cols>
    <col min="1" max="1" width="40.7109375" customWidth="1"/>
    <col min="2" max="3" width="20.7109375" customWidth="1"/>
    <col min="4" max="4" width="23.42578125" customWidth="1"/>
    <col min="17" max="17" width="11" customWidth="1"/>
  </cols>
  <sheetData>
    <row r="1" spans="1:4" ht="39.950000000000003" customHeight="1" x14ac:dyDescent="0.25">
      <c r="A1" s="12"/>
      <c r="B1" s="26" t="s">
        <v>55</v>
      </c>
      <c r="C1" s="26"/>
      <c r="D1" s="15" t="str">
        <f>HYPERLINK("#BasicInfo!ProfileNameA1","Back to Basic Info Tab")</f>
        <v>Back to Basic Info Tab</v>
      </c>
    </row>
    <row r="2" spans="1:4" ht="14.25" customHeight="1" x14ac:dyDescent="0.3">
      <c r="A2" s="4"/>
      <c r="D2" s="3"/>
    </row>
    <row r="3" spans="1:4" ht="15.75" x14ac:dyDescent="0.25">
      <c r="A3" s="5" t="s">
        <v>41</v>
      </c>
      <c r="D3" s="3"/>
    </row>
    <row r="4" spans="1:4" x14ac:dyDescent="0.25">
      <c r="A4" t="s">
        <v>34</v>
      </c>
      <c r="B4" t="s">
        <v>11</v>
      </c>
    </row>
    <row r="5" spans="1:4" x14ac:dyDescent="0.25">
      <c r="A5" s="1"/>
      <c r="B5" s="1"/>
    </row>
    <row r="6" spans="1:4" x14ac:dyDescent="0.25">
      <c r="A6" s="1"/>
      <c r="B6" s="1"/>
    </row>
    <row r="8" spans="1:4" ht="15.75" x14ac:dyDescent="0.25">
      <c r="A8" s="5" t="s">
        <v>42</v>
      </c>
    </row>
    <row r="9" spans="1:4" x14ac:dyDescent="0.25">
      <c r="A9" t="s">
        <v>34</v>
      </c>
      <c r="B9" t="s">
        <v>11</v>
      </c>
    </row>
    <row r="10" spans="1:4" x14ac:dyDescent="0.25">
      <c r="A10" s="1"/>
      <c r="B10" s="1"/>
    </row>
  </sheetData>
  <mergeCells count="1">
    <mergeCell ref="B1:C1"/>
  </mergeCells>
  <dataValidations count="2">
    <dataValidation type="list" allowBlank="1" showInputMessage="1" showErrorMessage="1" sqref="B5:B6" xr:uid="{6E6F3D3A-D007-4BC5-AD78-776FBAD53719}">
      <formula1>"DefaultOn,DefaultOff,Hidden"</formula1>
    </dataValidation>
    <dataValidation type="list" allowBlank="1" showInputMessage="1" showErrorMessage="1" sqref="B10:B11" xr:uid="{31126D8F-DE64-4B44-A287-8A001B46564B}">
      <formula1>"TRUE,FALSE"</formula1>
    </dataValidation>
  </dataValidations>
  <pageMargins left="0.7" right="0.7" top="0.75" bottom="0.75" header="0.3" footer="0.3"/>
  <tableParts count="2">
    <tablePart r:id="rId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B2758-F06B-4CA5-BD9B-FDE9C8B49344}">
  <sheetPr codeName="Sheet16"/>
  <dimension ref="A1:D10"/>
  <sheetViews>
    <sheetView workbookViewId="0">
      <selection activeCell="D1" sqref="D1"/>
    </sheetView>
  </sheetViews>
  <sheetFormatPr defaultRowHeight="15" x14ac:dyDescent="0.25"/>
  <cols>
    <col min="1" max="1" width="40.7109375" customWidth="1"/>
    <col min="2" max="3" width="20.7109375" customWidth="1"/>
    <col min="4" max="4" width="26.7109375" customWidth="1"/>
  </cols>
  <sheetData>
    <row r="1" spans="1:4" ht="39.950000000000003" customHeight="1" x14ac:dyDescent="0.25">
      <c r="A1" s="12"/>
      <c r="B1" s="26" t="s">
        <v>51</v>
      </c>
      <c r="C1" s="26"/>
      <c r="D1" s="15" t="str">
        <f>HYPERLINK("#BasicInfo!ProfileNameA1","Back to Basic Info Tab")</f>
        <v>Back to Basic Info Tab</v>
      </c>
    </row>
    <row r="2" spans="1:4" ht="18.75" x14ac:dyDescent="0.3">
      <c r="A2" s="4"/>
      <c r="D2" s="3"/>
    </row>
    <row r="3" spans="1:4" ht="15.75" x14ac:dyDescent="0.25">
      <c r="A3" s="5" t="s">
        <v>41</v>
      </c>
      <c r="D3" s="3"/>
    </row>
    <row r="4" spans="1:4" x14ac:dyDescent="0.25">
      <c r="A4" t="s">
        <v>35</v>
      </c>
      <c r="B4" t="s">
        <v>2</v>
      </c>
    </row>
    <row r="5" spans="1:4" x14ac:dyDescent="0.25">
      <c r="A5" s="1"/>
    </row>
    <row r="6" spans="1:4" x14ac:dyDescent="0.25">
      <c r="A6" s="1"/>
    </row>
    <row r="7" spans="1:4" x14ac:dyDescent="0.25">
      <c r="A7" s="1"/>
    </row>
    <row r="8" spans="1:4" ht="15.75" x14ac:dyDescent="0.25">
      <c r="A8" s="5" t="s">
        <v>42</v>
      </c>
    </row>
    <row r="9" spans="1:4" x14ac:dyDescent="0.25">
      <c r="A9" t="s">
        <v>35</v>
      </c>
      <c r="B9" t="s">
        <v>2</v>
      </c>
    </row>
    <row r="10" spans="1:4" x14ac:dyDescent="0.25">
      <c r="A10" s="1"/>
    </row>
  </sheetData>
  <mergeCells count="1">
    <mergeCell ref="B1:C1"/>
  </mergeCells>
  <dataValidations count="1">
    <dataValidation type="list" allowBlank="1" showInputMessage="1" showErrorMessage="1" sqref="B5:B6 B10:B11" xr:uid="{68577DD5-2CAF-413D-9815-0C7563BC1581}">
      <formula1>"TRUE,FALSE"</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33</vt:i4>
      </vt:variant>
    </vt:vector>
  </HeadingPairs>
  <TitlesOfParts>
    <vt:vector size="50" baseType="lpstr">
      <vt:lpstr>Instructions</vt:lpstr>
      <vt:lpstr>BasicInfo</vt:lpstr>
      <vt:lpstr>ApplicationVisibility</vt:lpstr>
      <vt:lpstr>CategoryGroupVisibilities</vt:lpstr>
      <vt:lpstr>ApexClassAccess</vt:lpstr>
      <vt:lpstr>CustomPermissions</vt:lpstr>
      <vt:lpstr>ExternalDataSourceAccesses</vt:lpstr>
      <vt:lpstr>FieldPermissions</vt:lpstr>
      <vt:lpstr>LayoutAssignments</vt:lpstr>
      <vt:lpstr>LoginHours</vt:lpstr>
      <vt:lpstr>LoginIpRanges</vt:lpstr>
      <vt:lpstr>ObjectPermissions</vt:lpstr>
      <vt:lpstr>VfPageAccess</vt:lpstr>
      <vt:lpstr>ProfileActionOverrides</vt:lpstr>
      <vt:lpstr>RecordTypeVisibility</vt:lpstr>
      <vt:lpstr>TabVisibilities</vt:lpstr>
      <vt:lpstr>UserPermissions</vt:lpstr>
      <vt:lpstr>ApexClassA1</vt:lpstr>
      <vt:lpstr>ApexClassAccessLink</vt:lpstr>
      <vt:lpstr>AppVisA1</vt:lpstr>
      <vt:lpstr>AppVisibilityLink</vt:lpstr>
      <vt:lpstr>CatGrpVisibilityLink</vt:lpstr>
      <vt:lpstr>CustomPermissionsLink</vt:lpstr>
      <vt:lpstr>CustPermsA1</vt:lpstr>
      <vt:lpstr>DataCatA1</vt:lpstr>
      <vt:lpstr>ExtDataSrcA1</vt:lpstr>
      <vt:lpstr>ExtDataSrcAccessLink</vt:lpstr>
      <vt:lpstr>FieldPermsA1</vt:lpstr>
      <vt:lpstr>FldPermsLink</vt:lpstr>
      <vt:lpstr>LayoutAssgnmntLink</vt:lpstr>
      <vt:lpstr>LayoutAssignsA1</vt:lpstr>
      <vt:lpstr>LoginHoursA1</vt:lpstr>
      <vt:lpstr>LoginHoursLink</vt:lpstr>
      <vt:lpstr>LoginIpRangesA1</vt:lpstr>
      <vt:lpstr>LoginIpRngsLink</vt:lpstr>
      <vt:lpstr>ObjectPermsA1</vt:lpstr>
      <vt:lpstr>ObjPermsLink</vt:lpstr>
      <vt:lpstr>PermSetMappedAppData</vt:lpstr>
      <vt:lpstr>ProfActionOverridesA1</vt:lpstr>
      <vt:lpstr>ProfActnOvrLnk</vt:lpstr>
      <vt:lpstr>ProfileAppMappedData</vt:lpstr>
      <vt:lpstr>ProfileNameA1</vt:lpstr>
      <vt:lpstr>RecordTypeVisA1</vt:lpstr>
      <vt:lpstr>RecordTypeVisLink</vt:lpstr>
      <vt:lpstr>TabVisA1</vt:lpstr>
      <vt:lpstr>TabVisibLink</vt:lpstr>
      <vt:lpstr>UserPermLink</vt:lpstr>
      <vt:lpstr>UserPermsA1</vt:lpstr>
      <vt:lpstr>VfPageAccessA1</vt:lpstr>
      <vt:lpstr>VgPgAccessLnk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admil</dc:creator>
  <cp:lastModifiedBy>admil</cp:lastModifiedBy>
  <dcterms:created xsi:type="dcterms:W3CDTF">2018-12-20T16:55:03Z</dcterms:created>
  <dcterms:modified xsi:type="dcterms:W3CDTF">2019-01-01T00:50:53Z</dcterms:modified>
</cp:coreProperties>
</file>